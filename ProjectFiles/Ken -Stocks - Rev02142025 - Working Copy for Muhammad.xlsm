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ab\Dropbox\Ken - Main File\"/>
    </mc:Choice>
  </mc:AlternateContent>
  <xr:revisionPtr revIDLastSave="0" documentId="13_ncr:1_{C2FB5E92-E013-477E-AB99-391999600F55}" xr6:coauthVersionLast="47" xr6:coauthVersionMax="47" xr10:uidLastSave="{00000000-0000-0000-0000-000000000000}"/>
  <bookViews>
    <workbookView xWindow="-38510" yWindow="-9610" windowWidth="38620" windowHeight="21100" xr2:uid="{3596B8E5-2591-40E7-A9A0-9B2F5719D579}"/>
  </bookViews>
  <sheets>
    <sheet name="Sheet1" sheetId="1" r:id="rId1"/>
  </sheets>
  <functionGroups builtInGroupCount="19"/>
  <definedNames>
    <definedName name="_xleta.COLUMN" hidden="1" xlm="1">#NAME?</definedName>
    <definedName name="_xleta.INDIRECT" hidden="1" xlm="1">#NAME?</definedName>
    <definedName name="_xleta.N" hidden="1" xlm="1">#NAME?</definedName>
    <definedName name="_xleta.ROW" hidden="1" xlm="1">#NAME?</definedName>
    <definedName name="_xleta.SHEET" hidden="1" xlm="1">#NAME?</definedName>
    <definedName name="_xleta.SUM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S14" i="1"/>
  <c r="S13" i="1"/>
  <c r="S12" i="1"/>
  <c r="X361" i="1"/>
  <c r="W361" i="1"/>
  <c r="X360" i="1"/>
  <c r="W360" i="1"/>
  <c r="O360" i="1"/>
  <c r="AI289" i="1"/>
  <c r="AI287" i="1"/>
  <c r="AA299" i="1"/>
  <c r="AK289" i="1"/>
  <c r="AJ289" i="1"/>
  <c r="X289" i="1"/>
  <c r="W289" i="1"/>
  <c r="O289" i="1"/>
  <c r="AK299" i="1"/>
  <c r="AJ299" i="1"/>
  <c r="AI299" i="1"/>
  <c r="X299" i="1"/>
  <c r="W299" i="1"/>
  <c r="O299" i="1"/>
  <c r="X359" i="1"/>
  <c r="W359" i="1"/>
  <c r="O359" i="1"/>
  <c r="S55" i="1"/>
  <c r="S54" i="1"/>
  <c r="AF54" i="1" s="1"/>
  <c r="S53" i="1"/>
  <c r="AF53" i="1" s="1"/>
  <c r="S52" i="1"/>
  <c r="AF52" i="1" s="1"/>
  <c r="S51" i="1"/>
  <c r="AF51" i="1" s="1"/>
  <c r="S50" i="1"/>
  <c r="AF50" i="1" s="1"/>
  <c r="S49" i="1"/>
  <c r="AF49" i="1" s="1"/>
  <c r="S48" i="1"/>
  <c r="AF48" i="1" s="1"/>
  <c r="S47" i="1"/>
  <c r="AF47" i="1" s="1"/>
  <c r="S46" i="1"/>
  <c r="AF46" i="1" s="1"/>
  <c r="C361" i="1"/>
  <c r="C360" i="1"/>
  <c r="C289" i="1"/>
  <c r="C299" i="1"/>
  <c r="C359" i="1"/>
  <c r="N361" i="1" l="1"/>
  <c r="O361" i="1" s="1"/>
  <c r="AA361" i="1" s="1"/>
  <c r="Y361" i="1"/>
  <c r="Z361" i="1" s="1"/>
  <c r="Y360" i="1"/>
  <c r="Z360" i="1" s="1"/>
  <c r="AB360" i="1" s="1"/>
  <c r="AA360" i="1"/>
  <c r="Y289" i="1"/>
  <c r="Z289" i="1" s="1"/>
  <c r="AB289" i="1" s="1"/>
  <c r="Y299" i="1"/>
  <c r="Z299" i="1" s="1"/>
  <c r="AB299" i="1" s="1"/>
  <c r="Y359" i="1"/>
  <c r="Z359" i="1" s="1"/>
  <c r="AB359" i="1" s="1"/>
  <c r="AA359" i="1"/>
  <c r="X369" i="1"/>
  <c r="W369" i="1"/>
  <c r="O369" i="1"/>
  <c r="AV27" i="1"/>
  <c r="AV261" i="1"/>
  <c r="AV262" i="1" s="1"/>
  <c r="AV249" i="1"/>
  <c r="AV250" i="1" s="1"/>
  <c r="AY239" i="1"/>
  <c r="AN234" i="1"/>
  <c r="AV237" i="1"/>
  <c r="S241" i="1"/>
  <c r="AK98" i="1"/>
  <c r="AJ98" i="1"/>
  <c r="X98" i="1"/>
  <c r="W98" i="1"/>
  <c r="O98" i="1"/>
  <c r="AK97" i="1"/>
  <c r="AJ97" i="1"/>
  <c r="X97" i="1"/>
  <c r="W97" i="1"/>
  <c r="O97" i="1"/>
  <c r="AK55" i="1"/>
  <c r="AJ55" i="1"/>
  <c r="AK54" i="1"/>
  <c r="AJ54" i="1"/>
  <c r="X55" i="1"/>
  <c r="W55" i="1"/>
  <c r="X54" i="1"/>
  <c r="W54" i="1"/>
  <c r="O55" i="1"/>
  <c r="Q55" i="1" s="1"/>
  <c r="O54" i="1"/>
  <c r="Q54" i="1" s="1"/>
  <c r="AJ53" i="1"/>
  <c r="AK53" i="1"/>
  <c r="AL18" i="1"/>
  <c r="C369" i="1"/>
  <c r="C55" i="1"/>
  <c r="C98" i="1"/>
  <c r="AB361" i="1" l="1"/>
  <c r="Y369" i="1"/>
  <c r="Z369" i="1" s="1"/>
  <c r="AB369" i="1" s="1"/>
  <c r="AA369" i="1"/>
  <c r="AM97" i="1"/>
  <c r="AN97" i="1" s="1"/>
  <c r="Z97" i="1"/>
  <c r="AB97" i="1" s="1"/>
  <c r="Y98" i="1"/>
  <c r="Z98" i="1" s="1"/>
  <c r="AB98" i="1" s="1"/>
  <c r="AM54" i="1"/>
  <c r="AN54" i="1" s="1"/>
  <c r="Z54" i="1"/>
  <c r="AB54" i="1" s="1"/>
  <c r="Y55" i="1"/>
  <c r="Z55" i="1" s="1"/>
  <c r="AB55" i="1" s="1"/>
  <c r="AM53" i="1"/>
  <c r="AF17" i="1" l="1"/>
  <c r="S18" i="1"/>
  <c r="AK18" i="1"/>
  <c r="AJ18" i="1"/>
  <c r="X18" i="1"/>
  <c r="W18" i="1"/>
  <c r="O18" i="1"/>
  <c r="S240" i="1"/>
  <c r="S239" i="1"/>
  <c r="S238" i="1"/>
  <c r="S237" i="1"/>
  <c r="AB233" i="1"/>
  <c r="AU237" i="1" s="1"/>
  <c r="X238" i="1"/>
  <c r="W238" i="1"/>
  <c r="O238" i="1"/>
  <c r="X241" i="1"/>
  <c r="W241" i="1"/>
  <c r="O241" i="1"/>
  <c r="Q241" i="1" s="1"/>
  <c r="X240" i="1"/>
  <c r="W240" i="1"/>
  <c r="O240" i="1"/>
  <c r="X237" i="1"/>
  <c r="W237" i="1"/>
  <c r="X371" i="1"/>
  <c r="W371" i="1"/>
  <c r="O371" i="1"/>
  <c r="AA371" i="1" s="1"/>
  <c r="X239" i="1"/>
  <c r="W239" i="1"/>
  <c r="O239" i="1"/>
  <c r="Q239" i="1" s="1"/>
  <c r="O237" i="1"/>
  <c r="Q237" i="1" s="1"/>
  <c r="R237" i="1" s="1"/>
  <c r="AU239" i="1"/>
  <c r="AN233" i="1"/>
  <c r="X368" i="1"/>
  <c r="W368" i="1"/>
  <c r="O368" i="1"/>
  <c r="AA368" i="1" s="1"/>
  <c r="X358" i="1"/>
  <c r="W358" i="1"/>
  <c r="O358" i="1"/>
  <c r="D45" i="1"/>
  <c r="C241" i="1"/>
  <c r="C368" i="1"/>
  <c r="C357" i="1"/>
  <c r="D7" i="1"/>
  <c r="C239" i="1"/>
  <c r="C238" i="1"/>
  <c r="C358" i="1"/>
  <c r="C240" i="1"/>
  <c r="C18" i="1"/>
  <c r="AV254" i="1" l="1"/>
  <c r="AV242" i="1"/>
  <c r="AV255" i="1"/>
  <c r="AV243" i="1"/>
  <c r="AM18" i="1"/>
  <c r="AN18" i="1" s="1"/>
  <c r="Y18" i="1"/>
  <c r="Z18" i="1" s="1"/>
  <c r="AB18" i="1" s="1"/>
  <c r="Q18" i="1"/>
  <c r="Y241" i="1"/>
  <c r="Z241" i="1" s="1"/>
  <c r="AB241" i="1" s="1"/>
  <c r="Y240" i="1"/>
  <c r="Z240" i="1" s="1"/>
  <c r="AB240" i="1" s="1"/>
  <c r="Q238" i="1"/>
  <c r="Z238" i="1"/>
  <c r="AB238" i="1" s="1"/>
  <c r="T237" i="1"/>
  <c r="Q240" i="1"/>
  <c r="Z237" i="1"/>
  <c r="AB237" i="1" s="1"/>
  <c r="Z371" i="1"/>
  <c r="AB371" i="1" s="1"/>
  <c r="Y239" i="1"/>
  <c r="Z239" i="1" s="1"/>
  <c r="AB239" i="1" s="1"/>
  <c r="AN266" i="1"/>
  <c r="Y368" i="1"/>
  <c r="Z368" i="1" s="1"/>
  <c r="AB368" i="1" s="1"/>
  <c r="Y358" i="1"/>
  <c r="Z358" i="1" s="1"/>
  <c r="AB358" i="1" s="1"/>
  <c r="AA358" i="1"/>
  <c r="AA50" i="1"/>
  <c r="AA51" i="1"/>
  <c r="AA52" i="1"/>
  <c r="AA53" i="1"/>
  <c r="AA86" i="1"/>
  <c r="AA94" i="1"/>
  <c r="AA95" i="1"/>
  <c r="AA96" i="1"/>
  <c r="AA133" i="1"/>
  <c r="AA134" i="1"/>
  <c r="AA171" i="1"/>
  <c r="AA172" i="1"/>
  <c r="AA201" i="1"/>
  <c r="AA202" i="1"/>
  <c r="AA203" i="1"/>
  <c r="AA204" i="1"/>
  <c r="AA205" i="1"/>
  <c r="AA206" i="1"/>
  <c r="AA209" i="1"/>
  <c r="AA297" i="1"/>
  <c r="AA298" i="1"/>
  <c r="AB260" i="1" l="1"/>
  <c r="AW238" i="1" s="1"/>
  <c r="R238" i="1"/>
  <c r="R239" i="1" s="1"/>
  <c r="R240" i="1" s="1"/>
  <c r="R241" i="1" s="1"/>
  <c r="AF16" i="1"/>
  <c r="AF15" i="1"/>
  <c r="AF14" i="1"/>
  <c r="AF13" i="1"/>
  <c r="AF12" i="1"/>
  <c r="S11" i="1"/>
  <c r="AF11" i="1" s="1"/>
  <c r="S10" i="1"/>
  <c r="AF10" i="1" s="1"/>
  <c r="C13" i="1"/>
  <c r="Y13" i="1" l="1"/>
  <c r="T241" i="1"/>
  <c r="AC259" i="1"/>
  <c r="T239" i="1"/>
  <c r="T240" i="1"/>
  <c r="T238" i="1"/>
  <c r="O13" i="1"/>
  <c r="Q13" i="1" s="1"/>
  <c r="W13" i="1"/>
  <c r="X13" i="1"/>
  <c r="S9" i="1"/>
  <c r="AF9" i="1" s="1"/>
  <c r="S8" i="1"/>
  <c r="AF8" i="1" s="1"/>
  <c r="X357" i="1"/>
  <c r="W357" i="1"/>
  <c r="O357" i="1"/>
  <c r="AA357" i="1" s="1"/>
  <c r="X366" i="1"/>
  <c r="W366" i="1"/>
  <c r="O366" i="1"/>
  <c r="X356" i="1"/>
  <c r="W356" i="1"/>
  <c r="O356" i="1"/>
  <c r="AA356" i="1" s="1"/>
  <c r="X355" i="1"/>
  <c r="W355" i="1"/>
  <c r="O355" i="1"/>
  <c r="AA355" i="1" s="1"/>
  <c r="X372" i="1"/>
  <c r="W372" i="1"/>
  <c r="O372" i="1"/>
  <c r="AA372" i="1" s="1"/>
  <c r="X365" i="1"/>
  <c r="W365" i="1"/>
  <c r="O365" i="1"/>
  <c r="X354" i="1"/>
  <c r="W354" i="1"/>
  <c r="O354" i="1"/>
  <c r="AA354" i="1" s="1"/>
  <c r="AK297" i="1"/>
  <c r="C372" i="1"/>
  <c r="C354" i="1"/>
  <c r="C355" i="1"/>
  <c r="C356" i="1"/>
  <c r="Z13" i="1" l="1"/>
  <c r="T259" i="1"/>
  <c r="Y357" i="1"/>
  <c r="Z357" i="1" s="1"/>
  <c r="AB357" i="1" s="1"/>
  <c r="Z366" i="1"/>
  <c r="AB366" i="1" s="1"/>
  <c r="Y356" i="1"/>
  <c r="Z356" i="1" s="1"/>
  <c r="AB356" i="1" s="1"/>
  <c r="Y355" i="1"/>
  <c r="Z355" i="1" s="1"/>
  <c r="AB355" i="1" s="1"/>
  <c r="Y372" i="1"/>
  <c r="Z372" i="1" s="1"/>
  <c r="AB372" i="1" s="1"/>
  <c r="Z365" i="1"/>
  <c r="AB365" i="1" s="1"/>
  <c r="Y354" i="1"/>
  <c r="Z354" i="1" s="1"/>
  <c r="AB354" i="1" s="1"/>
  <c r="AK200" i="1"/>
  <c r="AK171" i="1"/>
  <c r="AK133" i="1"/>
  <c r="AK96" i="1"/>
  <c r="AK95" i="1"/>
  <c r="AK94" i="1"/>
  <c r="AK85" i="1"/>
  <c r="AK52" i="1"/>
  <c r="AK51" i="1"/>
  <c r="AK47" i="1"/>
  <c r="AK46" i="1"/>
  <c r="AK50" i="1"/>
  <c r="AK16" i="1"/>
  <c r="AK15" i="1"/>
  <c r="AK14" i="1"/>
  <c r="AK12" i="1"/>
  <c r="AK11" i="1"/>
  <c r="AK298" i="1"/>
  <c r="AK288" i="1"/>
  <c r="AK287" i="1"/>
  <c r="AK209" i="1"/>
  <c r="AK206" i="1"/>
  <c r="AK199" i="1"/>
  <c r="AK172" i="1"/>
  <c r="AK162" i="1"/>
  <c r="AK161" i="1"/>
  <c r="AK134" i="1"/>
  <c r="AK124" i="1"/>
  <c r="AK123" i="1"/>
  <c r="AK86" i="1"/>
  <c r="AK84" i="1"/>
  <c r="AK49" i="1"/>
  <c r="AK48" i="1"/>
  <c r="AK17" i="1"/>
  <c r="AK13" i="1"/>
  <c r="AK9" i="1"/>
  <c r="AK8" i="1"/>
  <c r="AI297" i="1"/>
  <c r="AJ298" i="1"/>
  <c r="AJ297" i="1"/>
  <c r="AJ288" i="1"/>
  <c r="AJ287" i="1"/>
  <c r="AJ209" i="1"/>
  <c r="AJ206" i="1"/>
  <c r="AJ200" i="1"/>
  <c r="AJ199" i="1"/>
  <c r="AJ172" i="1"/>
  <c r="AJ171" i="1"/>
  <c r="AJ162" i="1"/>
  <c r="AJ161" i="1"/>
  <c r="AJ134" i="1"/>
  <c r="AJ133" i="1"/>
  <c r="AJ124" i="1"/>
  <c r="AJ123" i="1"/>
  <c r="AJ96" i="1"/>
  <c r="AJ95" i="1"/>
  <c r="AJ94" i="1"/>
  <c r="AJ86" i="1"/>
  <c r="AJ85" i="1"/>
  <c r="AJ84" i="1"/>
  <c r="AJ52" i="1"/>
  <c r="AJ51" i="1"/>
  <c r="AJ47" i="1"/>
  <c r="AJ46" i="1"/>
  <c r="AJ49" i="1"/>
  <c r="AJ48" i="1"/>
  <c r="AJ17" i="1"/>
  <c r="AJ16" i="1"/>
  <c r="AJ15" i="1"/>
  <c r="AJ14" i="1"/>
  <c r="AJ12" i="1"/>
  <c r="AJ11" i="1"/>
  <c r="AJ13" i="1"/>
  <c r="AJ9" i="1"/>
  <c r="AJ8" i="1"/>
  <c r="AI200" i="1"/>
  <c r="AI171" i="1"/>
  <c r="AI85" i="1"/>
  <c r="AI47" i="1"/>
  <c r="AI46" i="1"/>
  <c r="AI199" i="1"/>
  <c r="AI161" i="1"/>
  <c r="AI123" i="1"/>
  <c r="AI84" i="1"/>
  <c r="AI48" i="1"/>
  <c r="AI298" i="1"/>
  <c r="AI206" i="1"/>
  <c r="AI162" i="1"/>
  <c r="AI134" i="1"/>
  <c r="AI124" i="1"/>
  <c r="AI86" i="1"/>
  <c r="AI49" i="1"/>
  <c r="AN283" i="1"/>
  <c r="AN195" i="1"/>
  <c r="AN157" i="1"/>
  <c r="AN119" i="1"/>
  <c r="AN80" i="1"/>
  <c r="AN42" i="1"/>
  <c r="AN4" i="1"/>
  <c r="AN284" i="1"/>
  <c r="AN196" i="1"/>
  <c r="AN158" i="1"/>
  <c r="AN120" i="1"/>
  <c r="AN81" i="1"/>
  <c r="AN43" i="1"/>
  <c r="AN5" i="1"/>
  <c r="AF18" i="1" s="1"/>
  <c r="AF55" i="1" l="1"/>
  <c r="AN69" i="1"/>
  <c r="AY48" i="1" s="1"/>
  <c r="X172" i="1"/>
  <c r="W172" i="1"/>
  <c r="O172" i="1"/>
  <c r="X353" i="1"/>
  <c r="W353" i="1"/>
  <c r="O353" i="1"/>
  <c r="AA353" i="1" s="1"/>
  <c r="X343" i="1"/>
  <c r="W343" i="1"/>
  <c r="O343" i="1"/>
  <c r="X206" i="1"/>
  <c r="W206" i="1"/>
  <c r="O206" i="1"/>
  <c r="X86" i="1"/>
  <c r="W86" i="1"/>
  <c r="O86" i="1"/>
  <c r="X352" i="1"/>
  <c r="W352" i="1"/>
  <c r="O352" i="1"/>
  <c r="AA352" i="1" s="1"/>
  <c r="X200" i="1"/>
  <c r="W200" i="1"/>
  <c r="X209" i="1"/>
  <c r="W209" i="1"/>
  <c r="X199" i="1"/>
  <c r="W199" i="1"/>
  <c r="O199" i="1"/>
  <c r="AA199" i="1" s="1"/>
  <c r="X364" i="1"/>
  <c r="W364" i="1"/>
  <c r="O364" i="1"/>
  <c r="AA364" i="1" s="1"/>
  <c r="X347" i="1"/>
  <c r="W347" i="1"/>
  <c r="O347" i="1"/>
  <c r="AA347" i="1" s="1"/>
  <c r="X342" i="1"/>
  <c r="W342" i="1"/>
  <c r="O342" i="1"/>
  <c r="X351" i="1"/>
  <c r="W351" i="1"/>
  <c r="O351" i="1"/>
  <c r="AA351" i="1" s="1"/>
  <c r="X346" i="1"/>
  <c r="W346" i="1"/>
  <c r="O346" i="1"/>
  <c r="AA346" i="1" s="1"/>
  <c r="X341" i="1"/>
  <c r="W341" i="1"/>
  <c r="O341" i="1"/>
  <c r="C347" i="1"/>
  <c r="C86" i="1"/>
  <c r="C200" i="1"/>
  <c r="C352" i="1"/>
  <c r="C364" i="1"/>
  <c r="C199" i="1"/>
  <c r="C346" i="1"/>
  <c r="C353" i="1"/>
  <c r="C351" i="1"/>
  <c r="C206" i="1"/>
  <c r="AL206" i="1" l="1"/>
  <c r="AM206" i="1" s="1"/>
  <c r="AN206" i="1" s="1"/>
  <c r="Y206" i="1"/>
  <c r="Z206" i="1" s="1"/>
  <c r="AB206" i="1" s="1"/>
  <c r="AM209" i="1"/>
  <c r="Z172" i="1"/>
  <c r="AB172" i="1" s="1"/>
  <c r="Y353" i="1"/>
  <c r="Z353" i="1" s="1"/>
  <c r="AB353" i="1" s="1"/>
  <c r="Z343" i="1"/>
  <c r="AB343" i="1" s="1"/>
  <c r="Y86" i="1"/>
  <c r="Z86" i="1" s="1"/>
  <c r="AB86" i="1" s="1"/>
  <c r="Y352" i="1"/>
  <c r="Z352" i="1" s="1"/>
  <c r="AB352" i="1" s="1"/>
  <c r="O209" i="1"/>
  <c r="Z342" i="1"/>
  <c r="AM200" i="1"/>
  <c r="AL199" i="1"/>
  <c r="AM199" i="1" s="1"/>
  <c r="AN199" i="1" s="1"/>
  <c r="O200" i="1"/>
  <c r="AA200" i="1" s="1"/>
  <c r="AA225" i="1" s="1"/>
  <c r="Z200" i="1"/>
  <c r="Z209" i="1"/>
  <c r="Y199" i="1"/>
  <c r="Z199" i="1" s="1"/>
  <c r="AB199" i="1" s="1"/>
  <c r="Y364" i="1"/>
  <c r="Z364" i="1" s="1"/>
  <c r="AB364" i="1" s="1"/>
  <c r="Y347" i="1"/>
  <c r="Z347" i="1" s="1"/>
  <c r="AB347" i="1" s="1"/>
  <c r="Y351" i="1"/>
  <c r="Z351" i="1" s="1"/>
  <c r="AB351" i="1" s="1"/>
  <c r="Y346" i="1"/>
  <c r="Z346" i="1" s="1"/>
  <c r="AB346" i="1" s="1"/>
  <c r="X205" i="1"/>
  <c r="W205" i="1"/>
  <c r="O205" i="1"/>
  <c r="X204" i="1"/>
  <c r="W204" i="1"/>
  <c r="O204" i="1"/>
  <c r="X350" i="1"/>
  <c r="W350" i="1"/>
  <c r="O350" i="1"/>
  <c r="AA350" i="1" s="1"/>
  <c r="X349" i="1"/>
  <c r="W349" i="1"/>
  <c r="O349" i="1"/>
  <c r="AA349" i="1" s="1"/>
  <c r="X345" i="1"/>
  <c r="W345" i="1"/>
  <c r="O345" i="1"/>
  <c r="AA345" i="1" s="1"/>
  <c r="X340" i="1"/>
  <c r="W340" i="1"/>
  <c r="O340" i="1"/>
  <c r="X339" i="1"/>
  <c r="W339" i="1"/>
  <c r="O339" i="1"/>
  <c r="X338" i="1"/>
  <c r="W338" i="1"/>
  <c r="O338" i="1"/>
  <c r="X337" i="1"/>
  <c r="W337" i="1"/>
  <c r="O337" i="1"/>
  <c r="X335" i="1"/>
  <c r="W335" i="1"/>
  <c r="O335" i="1"/>
  <c r="X334" i="1"/>
  <c r="W334" i="1"/>
  <c r="O334" i="1"/>
  <c r="X333" i="1"/>
  <c r="W333" i="1"/>
  <c r="O333" i="1"/>
  <c r="X331" i="1"/>
  <c r="X330" i="1"/>
  <c r="W331" i="1"/>
  <c r="W330" i="1"/>
  <c r="O331" i="1"/>
  <c r="O330" i="1"/>
  <c r="AI133" i="1"/>
  <c r="X134" i="1"/>
  <c r="W134" i="1"/>
  <c r="O134" i="1"/>
  <c r="C8" i="1"/>
  <c r="C350" i="1"/>
  <c r="C134" i="1"/>
  <c r="C345" i="1"/>
  <c r="C349" i="1"/>
  <c r="X362" i="1" l="1"/>
  <c r="AA375" i="1"/>
  <c r="AN209" i="1"/>
  <c r="AN200" i="1"/>
  <c r="Z339" i="1"/>
  <c r="AB342" i="1"/>
  <c r="Z337" i="1"/>
  <c r="AB337" i="1" s="1"/>
  <c r="Z338" i="1"/>
  <c r="Z341" i="1"/>
  <c r="AB341" i="1" s="1"/>
  <c r="AB209" i="1"/>
  <c r="AB200" i="1"/>
  <c r="Z205" i="1"/>
  <c r="AB205" i="1" s="1"/>
  <c r="AN205" i="1" s="1"/>
  <c r="Z204" i="1"/>
  <c r="AB204" i="1" s="1"/>
  <c r="AN204" i="1" s="1"/>
  <c r="Y350" i="1"/>
  <c r="Z350" i="1" s="1"/>
  <c r="AB350" i="1" s="1"/>
  <c r="Y349" i="1"/>
  <c r="Z349" i="1" s="1"/>
  <c r="AB349" i="1" s="1"/>
  <c r="Y345" i="1"/>
  <c r="Z345" i="1" s="1"/>
  <c r="AB345" i="1" s="1"/>
  <c r="Z335" i="1"/>
  <c r="AB335" i="1" s="1"/>
  <c r="Z334" i="1"/>
  <c r="AB334" i="1" s="1"/>
  <c r="Z333" i="1"/>
  <c r="AB333" i="1" s="1"/>
  <c r="Z331" i="1"/>
  <c r="AB331" i="1" s="1"/>
  <c r="Z330" i="1"/>
  <c r="AB330" i="1" s="1"/>
  <c r="Y134" i="1"/>
  <c r="Z134" i="1" s="1"/>
  <c r="AB134" i="1" s="1"/>
  <c r="AB362" i="1" l="1"/>
  <c r="AB338" i="1"/>
  <c r="AB339" i="1"/>
  <c r="Z340" i="1"/>
  <c r="AB340" i="1" s="1"/>
  <c r="X203" i="1"/>
  <c r="W203" i="1"/>
  <c r="O203" i="1"/>
  <c r="X202" i="1"/>
  <c r="W202" i="1"/>
  <c r="O202" i="1"/>
  <c r="X201" i="1"/>
  <c r="W201" i="1"/>
  <c r="O201" i="1"/>
  <c r="AV223" i="1"/>
  <c r="AV224" i="1" s="1"/>
  <c r="AV211" i="1"/>
  <c r="AV212" i="1" s="1"/>
  <c r="AU199" i="1"/>
  <c r="AV216" i="1" s="1"/>
  <c r="AP279" i="1"/>
  <c r="AP274" i="1"/>
  <c r="X298" i="1"/>
  <c r="W298" i="1"/>
  <c r="O298" i="1"/>
  <c r="AI16" i="1"/>
  <c r="X96" i="1"/>
  <c r="W96" i="1"/>
  <c r="X17" i="1"/>
  <c r="W17" i="1"/>
  <c r="O17" i="1"/>
  <c r="Q17" i="1" s="1"/>
  <c r="Z298" i="1" l="1"/>
  <c r="AB298" i="1" s="1"/>
  <c r="AB376" i="1"/>
  <c r="AN225" i="1"/>
  <c r="AU201" i="1"/>
  <c r="AV205" i="1" s="1"/>
  <c r="AN227" i="1"/>
  <c r="AY201" i="1" s="1"/>
  <c r="AC375" i="1"/>
  <c r="Z202" i="1"/>
  <c r="AB202" i="1" s="1"/>
  <c r="AN202" i="1" s="1"/>
  <c r="Z203" i="1"/>
  <c r="AB203" i="1" s="1"/>
  <c r="AN203" i="1" s="1"/>
  <c r="Z201" i="1"/>
  <c r="AB201" i="1" s="1"/>
  <c r="AN201" i="1" s="1"/>
  <c r="AV204" i="1"/>
  <c r="AM96" i="1"/>
  <c r="AM16" i="1"/>
  <c r="Z96" i="1"/>
  <c r="Z17" i="1" l="1"/>
  <c r="AB17" i="1" s="1"/>
  <c r="AV217" i="1"/>
  <c r="AC225" i="1"/>
  <c r="AV199" i="1"/>
  <c r="AB226" i="1"/>
  <c r="AB228" i="1" s="1"/>
  <c r="AV311" i="1"/>
  <c r="AV312" i="1" s="1"/>
  <c r="AV299" i="1"/>
  <c r="AV300" i="1" s="1"/>
  <c r="AV147" i="1"/>
  <c r="AV148" i="1" s="1"/>
  <c r="AV135" i="1"/>
  <c r="AV136" i="1" s="1"/>
  <c r="AV108" i="1"/>
  <c r="AV109" i="1" s="1"/>
  <c r="AV96" i="1"/>
  <c r="AV97" i="1" s="1"/>
  <c r="AV70" i="1"/>
  <c r="AV71" i="1" s="1"/>
  <c r="AV58" i="1"/>
  <c r="AV59" i="1" s="1"/>
  <c r="X297" i="1"/>
  <c r="W297" i="1"/>
  <c r="X288" i="1"/>
  <c r="W288" i="1"/>
  <c r="X287" i="1"/>
  <c r="W287" i="1"/>
  <c r="O297" i="1"/>
  <c r="O288" i="1"/>
  <c r="AA288" i="1" s="1"/>
  <c r="O287" i="1"/>
  <c r="AA287" i="1" s="1"/>
  <c r="AI94" i="1"/>
  <c r="AI95" i="1"/>
  <c r="C287" i="1"/>
  <c r="AL289" i="1" l="1"/>
  <c r="AM289" i="1" s="1"/>
  <c r="AN289" i="1" s="1"/>
  <c r="AL299" i="1"/>
  <c r="AM299" i="1" s="1"/>
  <c r="AN299" i="1" s="1"/>
  <c r="AA313" i="1"/>
  <c r="AD226" i="1"/>
  <c r="AW200" i="1"/>
  <c r="AM298" i="1"/>
  <c r="AN298" i="1" s="1"/>
  <c r="AM297" i="1"/>
  <c r="AN297" i="1" s="1"/>
  <c r="AL287" i="1"/>
  <c r="AM287" i="1" s="1"/>
  <c r="AN287" i="1" s="1"/>
  <c r="AM288" i="1"/>
  <c r="AN288" i="1" s="1"/>
  <c r="Z297" i="1"/>
  <c r="AB297" i="1" s="1"/>
  <c r="Y287" i="1"/>
  <c r="Z287" i="1" s="1"/>
  <c r="AB287" i="1" s="1"/>
  <c r="Z288" i="1"/>
  <c r="AB288" i="1" s="1"/>
  <c r="AM94" i="1"/>
  <c r="AM95" i="1"/>
  <c r="AC313" i="1" l="1"/>
  <c r="AN313" i="1"/>
  <c r="AB314" i="1"/>
  <c r="AU125" i="1"/>
  <c r="AU86" i="1"/>
  <c r="AU48" i="1"/>
  <c r="AB283" i="1"/>
  <c r="AU287" i="1" s="1"/>
  <c r="AB157" i="1"/>
  <c r="AB119" i="1"/>
  <c r="AU123" i="1" s="1"/>
  <c r="AB80" i="1"/>
  <c r="AU84" i="1" s="1"/>
  <c r="AB42" i="1"/>
  <c r="AU46" i="1" s="1"/>
  <c r="AB4" i="1"/>
  <c r="AU8" i="1" s="1"/>
  <c r="AV13" i="1" s="1"/>
  <c r="AV287" i="1" l="1"/>
  <c r="AV304" i="1"/>
  <c r="AV292" i="1"/>
  <c r="AV141" i="1"/>
  <c r="AV129" i="1"/>
  <c r="AV128" i="1"/>
  <c r="AV140" i="1"/>
  <c r="AV90" i="1"/>
  <c r="AV102" i="1"/>
  <c r="AV101" i="1"/>
  <c r="AV89" i="1"/>
  <c r="AV63" i="1"/>
  <c r="AV51" i="1"/>
  <c r="AV64" i="1"/>
  <c r="AV52" i="1"/>
  <c r="AD314" i="1"/>
  <c r="AW288" i="1"/>
  <c r="AB316" i="1"/>
  <c r="W161" i="1" l="1"/>
  <c r="W123" i="1"/>
  <c r="AV32" i="1" l="1"/>
  <c r="AV33" i="1" s="1"/>
  <c r="AV20" i="1"/>
  <c r="AV21" i="1" s="1"/>
  <c r="AV185" i="1" l="1"/>
  <c r="AV186" i="1" s="1"/>
  <c r="AV173" i="1"/>
  <c r="AV174" i="1" s="1"/>
  <c r="AU161" i="1"/>
  <c r="AV166" i="1" s="1"/>
  <c r="O133" i="1"/>
  <c r="X133" i="1"/>
  <c r="W133" i="1"/>
  <c r="X124" i="1"/>
  <c r="W124" i="1"/>
  <c r="X123" i="1"/>
  <c r="AV178" i="1" l="1"/>
  <c r="O124" i="1"/>
  <c r="AA124" i="1" s="1"/>
  <c r="O123" i="1"/>
  <c r="AA123" i="1" s="1"/>
  <c r="AA149" i="1" l="1"/>
  <c r="AN151" i="1"/>
  <c r="AY125" i="1" s="1"/>
  <c r="AN149" i="1" l="1"/>
  <c r="AV123" i="1"/>
  <c r="X171" i="1"/>
  <c r="W171" i="1"/>
  <c r="O171" i="1"/>
  <c r="X162" i="1"/>
  <c r="W162" i="1"/>
  <c r="O162" i="1"/>
  <c r="AA162" i="1" s="1"/>
  <c r="X161" i="1"/>
  <c r="O161" i="1"/>
  <c r="AA161" i="1" s="1"/>
  <c r="X95" i="1"/>
  <c r="W95" i="1"/>
  <c r="X94" i="1"/>
  <c r="W94" i="1"/>
  <c r="X85" i="1"/>
  <c r="W85" i="1"/>
  <c r="X84" i="1"/>
  <c r="W84" i="1"/>
  <c r="O96" i="1"/>
  <c r="O95" i="1"/>
  <c r="AN95" i="1" s="1"/>
  <c r="O94" i="1"/>
  <c r="AN94" i="1" s="1"/>
  <c r="O85" i="1"/>
  <c r="AA85" i="1" s="1"/>
  <c r="O84" i="1"/>
  <c r="AA84" i="1" s="1"/>
  <c r="AI52" i="1"/>
  <c r="AI51" i="1"/>
  <c r="AI50" i="1"/>
  <c r="C161" i="1"/>
  <c r="C171" i="1"/>
  <c r="C162" i="1"/>
  <c r="AA187" i="1" l="1"/>
  <c r="AA110" i="1"/>
  <c r="AB96" i="1"/>
  <c r="AN96" i="1"/>
  <c r="AC149" i="1"/>
  <c r="AM172" i="1"/>
  <c r="AN172" i="1" s="1"/>
  <c r="AM171" i="1"/>
  <c r="AN171" i="1" s="1"/>
  <c r="AL161" i="1"/>
  <c r="AM161" i="1" s="1"/>
  <c r="AN161" i="1" s="1"/>
  <c r="AL162" i="1"/>
  <c r="AM162" i="1" s="1"/>
  <c r="AN162" i="1" s="1"/>
  <c r="AV25" i="1"/>
  <c r="AU163" i="1"/>
  <c r="AN189" i="1"/>
  <c r="AY163" i="1" s="1"/>
  <c r="Y162" i="1"/>
  <c r="Z162" i="1" s="1"/>
  <c r="AB162" i="1" s="1"/>
  <c r="Z171" i="1"/>
  <c r="AB171" i="1" s="1"/>
  <c r="Y161" i="1"/>
  <c r="Z161" i="1" s="1"/>
  <c r="AB161" i="1" s="1"/>
  <c r="Z95" i="1"/>
  <c r="AB95" i="1" s="1"/>
  <c r="Z94" i="1"/>
  <c r="AB94" i="1" s="1"/>
  <c r="AM51" i="1"/>
  <c r="AM50" i="1"/>
  <c r="AM52" i="1"/>
  <c r="AU289" i="1"/>
  <c r="AU10" i="1"/>
  <c r="C4" i="1"/>
  <c r="V361" i="1" s="1"/>
  <c r="W8" i="1"/>
  <c r="AI15" i="1"/>
  <c r="AI14" i="1"/>
  <c r="C124" i="1"/>
  <c r="C133" i="1"/>
  <c r="V289" i="1" l="1"/>
  <c r="V360" i="1"/>
  <c r="V359" i="1"/>
  <c r="V98" i="1"/>
  <c r="V369" i="1"/>
  <c r="V18" i="1"/>
  <c r="V55" i="1"/>
  <c r="V241" i="1"/>
  <c r="V238" i="1"/>
  <c r="V240" i="1"/>
  <c r="V239" i="1"/>
  <c r="V371" i="1"/>
  <c r="V368" i="1"/>
  <c r="AB234" i="1"/>
  <c r="AU238" i="1" s="1"/>
  <c r="V13" i="1"/>
  <c r="V358" i="1"/>
  <c r="V357" i="1"/>
  <c r="V356" i="1"/>
  <c r="V355" i="1"/>
  <c r="V372" i="1"/>
  <c r="V354" i="1"/>
  <c r="AN187" i="1"/>
  <c r="AN110" i="1"/>
  <c r="AC110" i="1"/>
  <c r="V353" i="1"/>
  <c r="V206" i="1"/>
  <c r="V86" i="1"/>
  <c r="V352" i="1"/>
  <c r="V364" i="1"/>
  <c r="V199" i="1"/>
  <c r="V342" i="1"/>
  <c r="V347" i="1"/>
  <c r="V351" i="1"/>
  <c r="V341" i="1"/>
  <c r="V346" i="1"/>
  <c r="V204" i="1"/>
  <c r="V205" i="1"/>
  <c r="V349" i="1"/>
  <c r="V350" i="1"/>
  <c r="V340" i="1"/>
  <c r="V345" i="1"/>
  <c r="V338" i="1"/>
  <c r="V339" i="1"/>
  <c r="V337" i="1"/>
  <c r="AB327" i="1"/>
  <c r="V203" i="1"/>
  <c r="V134" i="1"/>
  <c r="V201" i="1"/>
  <c r="V202" i="1"/>
  <c r="AB196" i="1"/>
  <c r="AB227" i="1" s="1"/>
  <c r="V96" i="1"/>
  <c r="AI96" i="1" s="1"/>
  <c r="AB158" i="1"/>
  <c r="AV305" i="1"/>
  <c r="AV293" i="1"/>
  <c r="V287" i="1"/>
  <c r="AN315" i="1"/>
  <c r="AB284" i="1"/>
  <c r="AB120" i="1"/>
  <c r="AU124" i="1" s="1"/>
  <c r="AB81" i="1"/>
  <c r="AB112" i="1" s="1"/>
  <c r="H387" i="1" s="1"/>
  <c r="AB43" i="1"/>
  <c r="AB69" i="1" s="1"/>
  <c r="AY47" i="1" s="1"/>
  <c r="AC187" i="1"/>
  <c r="AV26" i="1"/>
  <c r="AV14" i="1"/>
  <c r="AV167" i="1"/>
  <c r="AV179" i="1"/>
  <c r="Y124" i="1"/>
  <c r="Z124" i="1" s="1"/>
  <c r="AB124" i="1" s="1"/>
  <c r="Z133" i="1"/>
  <c r="AB133" i="1" s="1"/>
  <c r="V123" i="1"/>
  <c r="V124" i="1"/>
  <c r="AB188" i="1"/>
  <c r="AD188" i="1" s="1"/>
  <c r="V161" i="1"/>
  <c r="V162" i="1"/>
  <c r="AN112" i="1"/>
  <c r="AY86" i="1" s="1"/>
  <c r="V84" i="1"/>
  <c r="AB5" i="1"/>
  <c r="AB36" i="1" s="1"/>
  <c r="H385" i="1" s="1"/>
  <c r="AN36" i="1"/>
  <c r="V53" i="1"/>
  <c r="AI53" i="1" s="1"/>
  <c r="V49" i="1"/>
  <c r="V48" i="1"/>
  <c r="V9" i="1"/>
  <c r="V8" i="1"/>
  <c r="AM14" i="1"/>
  <c r="AM12" i="1"/>
  <c r="AM11" i="1"/>
  <c r="X53" i="1"/>
  <c r="W53" i="1"/>
  <c r="O53" i="1"/>
  <c r="X47" i="1"/>
  <c r="W47" i="1"/>
  <c r="X46" i="1"/>
  <c r="W46" i="1"/>
  <c r="X52" i="1"/>
  <c r="X51" i="1"/>
  <c r="X50" i="1"/>
  <c r="W52" i="1"/>
  <c r="W51" i="1"/>
  <c r="W50" i="1"/>
  <c r="O52" i="1"/>
  <c r="O51" i="1"/>
  <c r="X49" i="1"/>
  <c r="W49" i="1"/>
  <c r="X48" i="1"/>
  <c r="W48" i="1"/>
  <c r="O47" i="1"/>
  <c r="O46" i="1"/>
  <c r="O50" i="1"/>
  <c r="O49" i="1"/>
  <c r="O48" i="1"/>
  <c r="C49" i="1"/>
  <c r="C123" i="1"/>
  <c r="C48" i="1"/>
  <c r="C50" i="1"/>
  <c r="C84" i="1"/>
  <c r="AL98" i="1" l="1"/>
  <c r="AM98" i="1" s="1"/>
  <c r="AN98" i="1" s="1"/>
  <c r="H386" i="1"/>
  <c r="AN51" i="1"/>
  <c r="Q51" i="1"/>
  <c r="AN52" i="1"/>
  <c r="Q52" i="1"/>
  <c r="AN53" i="1"/>
  <c r="Q53" i="1"/>
  <c r="Q49" i="1"/>
  <c r="Q48" i="1"/>
  <c r="AN50" i="1"/>
  <c r="Q50" i="1"/>
  <c r="Q47" i="1"/>
  <c r="Q46" i="1"/>
  <c r="R46" i="1" s="1"/>
  <c r="AG46" i="1" s="1"/>
  <c r="AB229" i="1"/>
  <c r="I390" i="1" s="1"/>
  <c r="H390" i="1"/>
  <c r="AV257" i="1"/>
  <c r="AV245" i="1"/>
  <c r="AL55" i="1"/>
  <c r="AM55" i="1" s="1"/>
  <c r="AN55" i="1" s="1"/>
  <c r="AB261" i="1"/>
  <c r="H391" i="1" s="1"/>
  <c r="AY10" i="1"/>
  <c r="AV84" i="1"/>
  <c r="AL134" i="1"/>
  <c r="AM134" i="1" s="1"/>
  <c r="AN134" i="1" s="1"/>
  <c r="AL86" i="1"/>
  <c r="AM86" i="1" s="1"/>
  <c r="AN86" i="1" s="1"/>
  <c r="Y84" i="1"/>
  <c r="Z84" i="1" s="1"/>
  <c r="AB84" i="1" s="1"/>
  <c r="Y48" i="1"/>
  <c r="AU200" i="1"/>
  <c r="BB134" i="1"/>
  <c r="AV143" i="1"/>
  <c r="AV131" i="1"/>
  <c r="AY289" i="1"/>
  <c r="AB315" i="1"/>
  <c r="H392" i="1" s="1"/>
  <c r="AU288" i="1"/>
  <c r="AY85" i="1"/>
  <c r="AZ84" i="1" s="1"/>
  <c r="AU85" i="1"/>
  <c r="AZ46" i="1"/>
  <c r="AU47" i="1"/>
  <c r="AY9" i="1"/>
  <c r="AU9" i="1"/>
  <c r="AV28" i="1" s="1"/>
  <c r="AM133" i="1"/>
  <c r="AN133" i="1" s="1"/>
  <c r="AL123" i="1"/>
  <c r="AM123" i="1" s="1"/>
  <c r="AN123" i="1" s="1"/>
  <c r="AL124" i="1"/>
  <c r="AM124" i="1" s="1"/>
  <c r="AN124" i="1" s="1"/>
  <c r="AL84" i="1"/>
  <c r="AM84" i="1" s="1"/>
  <c r="AN84" i="1" s="1"/>
  <c r="AM85" i="1"/>
  <c r="AN85" i="1" s="1"/>
  <c r="AL49" i="1"/>
  <c r="AL48" i="1"/>
  <c r="AV161" i="1"/>
  <c r="AU162" i="1"/>
  <c r="AB189" i="1"/>
  <c r="H389" i="1" s="1"/>
  <c r="AB151" i="1"/>
  <c r="Y123" i="1"/>
  <c r="Z123" i="1" s="1"/>
  <c r="AB123" i="1" s="1"/>
  <c r="AB150" i="1" s="1"/>
  <c r="AW124" i="1" s="1"/>
  <c r="AW162" i="1"/>
  <c r="AB190" i="1"/>
  <c r="Z85" i="1"/>
  <c r="AB85" i="1" s="1"/>
  <c r="Z53" i="1"/>
  <c r="AB53" i="1" s="1"/>
  <c r="Z46" i="1"/>
  <c r="AB46" i="1" s="1"/>
  <c r="Z47" i="1"/>
  <c r="AB47" i="1" s="1"/>
  <c r="Z50" i="1"/>
  <c r="AB50" i="1" s="1"/>
  <c r="Z51" i="1"/>
  <c r="AB51" i="1" s="1"/>
  <c r="Z52" i="1"/>
  <c r="AB52" i="1" s="1"/>
  <c r="Y49" i="1"/>
  <c r="Z49" i="1" s="1"/>
  <c r="AB49" i="1" s="1"/>
  <c r="AV259" i="1" a="1"/>
  <c r="AV145" i="1" a="1"/>
  <c r="AV133" i="1" a="1"/>
  <c r="AV30" i="1" a="1"/>
  <c r="AV247" i="1" a="1"/>
  <c r="R47" i="1" l="1"/>
  <c r="AG47" i="1" s="1"/>
  <c r="T46" i="1"/>
  <c r="J390" i="1"/>
  <c r="AY124" i="1"/>
  <c r="AZ123" i="1" s="1"/>
  <c r="H388" i="1"/>
  <c r="H394" i="1" s="1"/>
  <c r="AA259" i="1"/>
  <c r="AN264" i="1" s="1"/>
  <c r="AW239" i="1" s="1"/>
  <c r="AX237" i="1" s="1"/>
  <c r="AY238" i="1"/>
  <c r="AV247" i="1"/>
  <c r="AV251" i="1" s="1"/>
  <c r="AN262" i="1" s="1"/>
  <c r="AV259" i="1"/>
  <c r="AV263" i="1" s="1"/>
  <c r="AN263" i="1" s="1"/>
  <c r="AZ8" i="1"/>
  <c r="AY200" i="1"/>
  <c r="AZ199" i="1" s="1"/>
  <c r="AV207" i="1"/>
  <c r="AV219" i="1"/>
  <c r="AV307" i="1"/>
  <c r="AV295" i="1"/>
  <c r="AV145" i="1"/>
  <c r="AV149" i="1" s="1"/>
  <c r="AN148" i="1" s="1"/>
  <c r="AV133" i="1"/>
  <c r="AV137" i="1" s="1"/>
  <c r="AN147" i="1" s="1"/>
  <c r="AV104" i="1"/>
  <c r="AV92" i="1"/>
  <c r="AV66" i="1"/>
  <c r="AV54" i="1"/>
  <c r="AB317" i="1"/>
  <c r="I392" i="1" s="1"/>
  <c r="J392" i="1" s="1"/>
  <c r="AY288" i="1"/>
  <c r="AZ287" i="1" s="1"/>
  <c r="AD150" i="1"/>
  <c r="AV16" i="1"/>
  <c r="AY162" i="1"/>
  <c r="AV30" i="1"/>
  <c r="AV34" i="1" s="1"/>
  <c r="AN33" i="1" s="1"/>
  <c r="AV181" i="1"/>
  <c r="AV169" i="1"/>
  <c r="AB191" i="1"/>
  <c r="I389" i="1" s="1"/>
  <c r="J389" i="1" s="1"/>
  <c r="AB152" i="1"/>
  <c r="AB153" i="1" s="1"/>
  <c r="I388" i="1" s="1"/>
  <c r="AB111" i="1"/>
  <c r="Z48" i="1"/>
  <c r="AB48" i="1" s="1"/>
  <c r="AV68" i="1" a="1"/>
  <c r="AV309" i="1" a="1"/>
  <c r="AV106" i="1" a="1"/>
  <c r="AV18" i="1" a="1"/>
  <c r="AV56" i="1" a="1"/>
  <c r="AV221" i="1" a="1"/>
  <c r="AV183" i="1" a="1"/>
  <c r="AV171" i="1" a="1"/>
  <c r="AV209" i="1" a="1"/>
  <c r="AV297" i="1" a="1"/>
  <c r="AV94" i="1" a="1"/>
  <c r="AB68" i="1" l="1"/>
  <c r="R48" i="1"/>
  <c r="AG48" i="1" s="1"/>
  <c r="T47" i="1"/>
  <c r="J388" i="1"/>
  <c r="AB262" i="1"/>
  <c r="AB263" i="1" s="1"/>
  <c r="AV18" i="1"/>
  <c r="AV22" i="1" s="1"/>
  <c r="AN32" i="1" s="1"/>
  <c r="AV46" i="1"/>
  <c r="AV221" i="1"/>
  <c r="AV225" i="1" s="1"/>
  <c r="AN224" i="1" s="1"/>
  <c r="AV209" i="1"/>
  <c r="AV213" i="1" s="1"/>
  <c r="AN223" i="1" s="1"/>
  <c r="AN150" i="1"/>
  <c r="AV309" i="1"/>
  <c r="AV313" i="1" s="1"/>
  <c r="AN312" i="1" s="1"/>
  <c r="AV297" i="1"/>
  <c r="AV301" i="1" s="1"/>
  <c r="AN311" i="1" s="1"/>
  <c r="AV106" i="1"/>
  <c r="AV110" i="1" s="1"/>
  <c r="AN109" i="1" s="1"/>
  <c r="AV94" i="1"/>
  <c r="AV98" i="1" s="1"/>
  <c r="AN108" i="1" s="1"/>
  <c r="AV56" i="1"/>
  <c r="AV60" i="1" s="1"/>
  <c r="AN65" i="1" s="1"/>
  <c r="AV68" i="1"/>
  <c r="AV72" i="1" s="1"/>
  <c r="AN66" i="1" s="1"/>
  <c r="AD111" i="1"/>
  <c r="AW85" i="1"/>
  <c r="AV183" i="1"/>
  <c r="AV187" i="1" s="1"/>
  <c r="AN186" i="1" s="1"/>
  <c r="AV171" i="1"/>
  <c r="AV175" i="1" s="1"/>
  <c r="AN185" i="1" s="1"/>
  <c r="AB113" i="1"/>
  <c r="AB114" i="1" s="1"/>
  <c r="I387" i="1" s="1"/>
  <c r="J387" i="1" s="1"/>
  <c r="X15" i="1"/>
  <c r="W15" i="1"/>
  <c r="O15" i="1"/>
  <c r="Q15" i="1" s="1"/>
  <c r="O14" i="1"/>
  <c r="W14" i="1"/>
  <c r="X14" i="1"/>
  <c r="AD68" i="1" l="1"/>
  <c r="AW47" i="1"/>
  <c r="R49" i="1"/>
  <c r="AG49" i="1" s="1"/>
  <c r="T48" i="1"/>
  <c r="AN265" i="1"/>
  <c r="AZ237" i="1" s="1"/>
  <c r="BA237" i="1" s="1"/>
  <c r="AN14" i="1"/>
  <c r="Q14" i="1"/>
  <c r="AP150" i="1"/>
  <c r="AN152" i="1"/>
  <c r="AN226" i="1"/>
  <c r="AW125" i="1"/>
  <c r="AX123" i="1" s="1"/>
  <c r="BA123" i="1" s="1"/>
  <c r="AN314" i="1"/>
  <c r="AN188" i="1"/>
  <c r="AZ161" i="1"/>
  <c r="Z15" i="1"/>
  <c r="AB15" i="1" s="1"/>
  <c r="Z14" i="1"/>
  <c r="AB14" i="1" s="1"/>
  <c r="X12" i="1"/>
  <c r="W12" i="1"/>
  <c r="O12" i="1"/>
  <c r="Q12" i="1" s="1"/>
  <c r="X11" i="1"/>
  <c r="W11" i="1"/>
  <c r="O11" i="1"/>
  <c r="R50" i="1" l="1"/>
  <c r="AG50" i="1" s="1"/>
  <c r="T49" i="1"/>
  <c r="AP265" i="1"/>
  <c r="AN267" i="1"/>
  <c r="AN268" i="1" s="1"/>
  <c r="AN11" i="1"/>
  <c r="Q11" i="1"/>
  <c r="AP314" i="1"/>
  <c r="AN316" i="1"/>
  <c r="AN317" i="1" s="1"/>
  <c r="AW201" i="1"/>
  <c r="AX199" i="1" s="1"/>
  <c r="BA199" i="1" s="1"/>
  <c r="AN228" i="1"/>
  <c r="AN229" i="1" s="1"/>
  <c r="AP188" i="1"/>
  <c r="AN190" i="1"/>
  <c r="AN191" i="1" s="1"/>
  <c r="AN12" i="1"/>
  <c r="AP226" i="1"/>
  <c r="AN153" i="1"/>
  <c r="AW289" i="1"/>
  <c r="AX287" i="1" s="1"/>
  <c r="BA287" i="1" s="1"/>
  <c r="AW163" i="1"/>
  <c r="AX161" i="1" s="1"/>
  <c r="BA161" i="1" s="1"/>
  <c r="AB13" i="1"/>
  <c r="Z11" i="1"/>
  <c r="Z12" i="1"/>
  <c r="AB12" i="1" s="1"/>
  <c r="R51" i="1" l="1"/>
  <c r="AG51" i="1" s="1"/>
  <c r="T50" i="1"/>
  <c r="AB11" i="1"/>
  <c r="X10" i="1"/>
  <c r="X9" i="1"/>
  <c r="X8" i="1"/>
  <c r="W10" i="1"/>
  <c r="W9" i="1"/>
  <c r="O16" i="1"/>
  <c r="Q16" i="1" s="1"/>
  <c r="O10" i="1"/>
  <c r="O9" i="1"/>
  <c r="O8" i="1"/>
  <c r="C9" i="1"/>
  <c r="R52" i="1" l="1"/>
  <c r="AG52" i="1" s="1"/>
  <c r="T51" i="1"/>
  <c r="Q8" i="1"/>
  <c r="R8" i="1" s="1"/>
  <c r="AG8" i="1" s="1"/>
  <c r="Q9" i="1"/>
  <c r="Q10" i="1"/>
  <c r="AN16" i="1"/>
  <c r="AM17" i="1"/>
  <c r="AN17" i="1" s="1"/>
  <c r="Y8" i="1"/>
  <c r="AL13" i="1"/>
  <c r="AM13" i="1" s="1"/>
  <c r="AN13" i="1" s="1"/>
  <c r="AL9" i="1"/>
  <c r="AM9" i="1" s="1"/>
  <c r="AN9" i="1" s="1"/>
  <c r="AL8" i="1"/>
  <c r="AM8" i="1" s="1"/>
  <c r="AN8" i="1" s="1"/>
  <c r="AN111" i="1"/>
  <c r="AN113" i="1" s="1"/>
  <c r="AM46" i="1"/>
  <c r="AN46" i="1" s="1"/>
  <c r="AM49" i="1"/>
  <c r="AN49" i="1" s="1"/>
  <c r="AM47" i="1"/>
  <c r="AN47" i="1" s="1"/>
  <c r="AM48" i="1"/>
  <c r="AN48" i="1" s="1"/>
  <c r="Z16" i="1"/>
  <c r="AB16" i="1" s="1"/>
  <c r="Y9" i="1"/>
  <c r="Z10" i="1"/>
  <c r="AN68" i="1" l="1"/>
  <c r="R53" i="1"/>
  <c r="AG53" i="1" s="1"/>
  <c r="T52" i="1"/>
  <c r="AB10" i="1"/>
  <c r="AM10" i="1"/>
  <c r="AN10" i="1" s="1"/>
  <c r="R9" i="1"/>
  <c r="T8" i="1"/>
  <c r="AW86" i="1"/>
  <c r="AX84" i="1" s="1"/>
  <c r="BA84" i="1" s="1"/>
  <c r="AP111" i="1"/>
  <c r="AN114" i="1"/>
  <c r="Z9" i="1"/>
  <c r="AB9" i="1" s="1"/>
  <c r="AM15" i="1"/>
  <c r="AN15" i="1" s="1"/>
  <c r="Z8" i="1"/>
  <c r="AB8" i="1" s="1"/>
  <c r="I386" i="1"/>
  <c r="J386" i="1" s="1"/>
  <c r="AG9" i="1" l="1"/>
  <c r="T9" i="1"/>
  <c r="R54" i="1"/>
  <c r="T53" i="1"/>
  <c r="R10" i="1"/>
  <c r="AN35" i="1"/>
  <c r="AB35" i="1"/>
  <c r="AG10" i="1" l="1"/>
  <c r="T10" i="1"/>
  <c r="T54" i="1"/>
  <c r="AG54" i="1"/>
  <c r="R55" i="1"/>
  <c r="AG55" i="1" s="1"/>
  <c r="R11" i="1"/>
  <c r="AW9" i="1"/>
  <c r="AW10" i="1"/>
  <c r="AP35" i="1"/>
  <c r="AD35" i="1"/>
  <c r="AG11" i="1" l="1"/>
  <c r="T11" i="1"/>
  <c r="AG67" i="1"/>
  <c r="AN67" i="1" s="1"/>
  <c r="T55" i="1"/>
  <c r="T67" i="1" s="1"/>
  <c r="AC67" i="1"/>
  <c r="R12" i="1"/>
  <c r="T12" i="1" s="1"/>
  <c r="AX8" i="1"/>
  <c r="BA8" i="1" s="1"/>
  <c r="AG12" i="1" l="1"/>
  <c r="R13" i="1"/>
  <c r="T13" i="1" s="1"/>
  <c r="AG13" i="1" l="1"/>
  <c r="R14" i="1"/>
  <c r="R15" i="1" l="1"/>
  <c r="T14" i="1"/>
  <c r="AG14" i="1"/>
  <c r="R16" i="1" l="1"/>
  <c r="T15" i="1"/>
  <c r="AG15" i="1"/>
  <c r="R17" i="1" l="1"/>
  <c r="T16" i="1"/>
  <c r="AG16" i="1"/>
  <c r="R18" i="1" l="1"/>
  <c r="AG18" i="1" s="1"/>
  <c r="T17" i="1"/>
  <c r="AG17" i="1"/>
  <c r="AC34" i="1" l="1"/>
  <c r="AC384" i="1" s="1"/>
  <c r="T18" i="1"/>
  <c r="T34" i="1" s="1"/>
  <c r="AA34" i="1" s="1"/>
  <c r="AG34" i="1"/>
  <c r="AN34" i="1" s="1"/>
  <c r="AN37" i="1" s="1"/>
  <c r="AN38" i="1" s="1"/>
  <c r="AB37" i="1" l="1"/>
  <c r="AB38" i="1" s="1"/>
  <c r="AD260" i="1"/>
  <c r="I385" i="1" l="1"/>
  <c r="I394" i="1" s="1"/>
  <c r="AA67" i="1"/>
  <c r="J385" i="1" l="1"/>
  <c r="J394" i="1" s="1"/>
  <c r="I396" i="1" s="1"/>
  <c r="AF384" i="1" s="1"/>
  <c r="AB70" i="1" l="1"/>
  <c r="AB71" i="1" l="1"/>
  <c r="AD384" i="1" l="1"/>
  <c r="AN70" i="1"/>
  <c r="AN71" i="1" s="1"/>
  <c r="AW48" i="1"/>
  <c r="AX46" i="1" s="1"/>
  <c r="BA46" i="1" s="1"/>
  <c r="BA384" i="1" s="1"/>
  <c r="AP68" i="1" l="1"/>
  <c r="AP38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<sst xmlns="http://schemas.openxmlformats.org/spreadsheetml/2006/main" count="1435" uniqueCount="260">
  <si>
    <t>PROFIT TO DATE</t>
  </si>
  <si>
    <t>TODAYS DATE</t>
  </si>
  <si>
    <t>12 Months</t>
  </si>
  <si>
    <t>Data is Manually Entered</t>
  </si>
  <si>
    <t>OK 12/26/2024</t>
  </si>
  <si>
    <t>Initial Investment Date</t>
  </si>
  <si>
    <t>Data is Calculated</t>
  </si>
  <si>
    <t>Todays Date</t>
  </si>
  <si>
    <r>
      <t>FORMAT SYMYYMMDD00000</t>
    </r>
    <r>
      <rPr>
        <vertAlign val="subscript"/>
        <sz val="11"/>
        <color theme="1"/>
        <rFont val="Calibri"/>
        <family val="2"/>
        <scheme val="minor"/>
      </rPr>
      <t>DP</t>
    </r>
    <r>
      <rPr>
        <sz val="11"/>
        <color theme="1"/>
        <rFont val="Calibri"/>
        <family val="2"/>
        <scheme val="minor"/>
      </rPr>
      <t>000</t>
    </r>
  </si>
  <si>
    <t>Security</t>
  </si>
  <si>
    <t>Stock,
Call,
or Put</t>
  </si>
  <si>
    <t>Initial
Investment</t>
  </si>
  <si>
    <t>If Option,
Strike
Price</t>
  </si>
  <si>
    <t>If Option,
Expiration
Date</t>
  </si>
  <si>
    <t>Date
Position
Opened</t>
  </si>
  <si>
    <t>Opening
Action
Buy
or Sell</t>
  </si>
  <si>
    <t>Qty</t>
  </si>
  <si>
    <t>Price</t>
  </si>
  <si>
    <t>OPEN
Cash
In or Out</t>
  </si>
  <si>
    <t>Today's
Date
if Position
Not Closed</t>
  </si>
  <si>
    <t>Closing
Action
Buy
or Sell</t>
  </si>
  <si>
    <t>Today's Price
if Position
Not Closed</t>
  </si>
  <si>
    <t>Today's
Value
If Position
Not Closed</t>
  </si>
  <si>
    <t>Initial
Investment
Dollars</t>
  </si>
  <si>
    <t>Profit
or
(Loss)
To Date</t>
  </si>
  <si>
    <t>Date of
Close of Position</t>
  </si>
  <si>
    <t>Estimated Price
at Close
of Position</t>
  </si>
  <si>
    <t>Estimated Value
at Close
of Position</t>
  </si>
  <si>
    <t>Final
Profit
or
(Loss)</t>
  </si>
  <si>
    <t>TODAY's
PRICES</t>
  </si>
  <si>
    <t>Dividend
Amount
if
Dividend</t>
  </si>
  <si>
    <t>Date
Closed
if Position
Closed</t>
  </si>
  <si>
    <t>Closing Price
if Position
Closed</t>
  </si>
  <si>
    <t>Cash
In or Out
If Position Closed</t>
  </si>
  <si>
    <t>Date
Position
Closed</t>
  </si>
  <si>
    <t>Date</t>
  </si>
  <si>
    <t>Initial 
Investment</t>
  </si>
  <si>
    <t>Profit to
Noted Date</t>
  </si>
  <si>
    <t>Delta
Profit</t>
  </si>
  <si>
    <t>Days From
Initial
Investment</t>
  </si>
  <si>
    <t>Days
Remaining</t>
  </si>
  <si>
    <t>Pending
Profit
Over
Next30 Days</t>
  </si>
  <si>
    <t>F - Ford Motor Company</t>
  </si>
  <si>
    <t xml:space="preserve">Ford </t>
  </si>
  <si>
    <t>Stock</t>
  </si>
  <si>
    <t>Yes</t>
  </si>
  <si>
    <t>N/A</t>
  </si>
  <si>
    <t>Buy</t>
  </si>
  <si>
    <t>Ford 9/19/2025 10.00 Put</t>
  </si>
  <si>
    <t>Put</t>
  </si>
  <si>
    <t>Close of Position Date</t>
  </si>
  <si>
    <t>No</t>
  </si>
  <si>
    <t>Calculate Cash From Remaining Dividends - Function (NRemainingEvents)</t>
  </si>
  <si>
    <t>Function NRemainingEvents - StartDate</t>
  </si>
  <si>
    <t>DIVIDEND</t>
  </si>
  <si>
    <t>Function NRemainingEvents - EndDate</t>
  </si>
  <si>
    <t>Function NRemainingEvents - FirstDate</t>
  </si>
  <si>
    <t>Function NRemainingEvents - TodaysDate</t>
  </si>
  <si>
    <t>Function NRemainingEvents - Period</t>
  </si>
  <si>
    <t>Q</t>
  </si>
  <si>
    <t>F 10/25/2024 10.00 Call</t>
  </si>
  <si>
    <t>Closed</t>
  </si>
  <si>
    <t>Call</t>
  </si>
  <si>
    <t>Sell</t>
  </si>
  <si>
    <t>Number of Pending Dividends</t>
  </si>
  <si>
    <t xml:space="preserve">F 11/15/2024 11.00 Call </t>
  </si>
  <si>
    <t>Dividend per Share</t>
  </si>
  <si>
    <t>F 12/13/2024 11.00 Cal</t>
  </si>
  <si>
    <t>No of Shares</t>
  </si>
  <si>
    <t>F 1/10/2025 10.50 Call</t>
  </si>
  <si>
    <t>Cash per Pending Dividend</t>
  </si>
  <si>
    <t>F 01/24/2025 10.00 Call</t>
  </si>
  <si>
    <t>Cash from All Pending Dividends</t>
  </si>
  <si>
    <t>Calculate Cash From Pending Additional Rolls</t>
  </si>
  <si>
    <t>Expiration Date of Open Call = First Date</t>
  </si>
  <si>
    <t>M</t>
  </si>
  <si>
    <t>Number of Pending Rolls</t>
  </si>
  <si>
    <t>Cash per Share per Roll</t>
  </si>
  <si>
    <t>CASH FROM PENDING DIVIDENDS</t>
  </si>
  <si>
    <t>CASH FROM PENDING ADDITIONAL ROLLS</t>
  </si>
  <si>
    <t>Cash per One Roll</t>
  </si>
  <si>
    <t>Initial Investment</t>
  </si>
  <si>
    <t>Cash from All Pending Rolls</t>
  </si>
  <si>
    <t>Next Roll</t>
  </si>
  <si>
    <t>Profit or (Loss) to Date</t>
  </si>
  <si>
    <t>N Days from Initial Investment to Today</t>
  </si>
  <si>
    <t>N Days from Initial Investment to Date of Close of Position</t>
  </si>
  <si>
    <t>Yield to Date in Percent (Actual)</t>
  </si>
  <si>
    <t>Yield to closing in Percent (Actual)</t>
  </si>
  <si>
    <t>Annualized Yield to Date in Percent (Actual)</t>
  </si>
  <si>
    <t>Annualized Final Yield in Percent (Actual)</t>
  </si>
  <si>
    <t>FORD - 2  TODAY</t>
  </si>
  <si>
    <t>Ford 6/20/2025 11.17 Put</t>
  </si>
  <si>
    <t>Ford 9/19/2025 12.00 Put</t>
  </si>
  <si>
    <t>Pending</t>
  </si>
  <si>
    <t>``</t>
  </si>
  <si>
    <t>POSITION 2024-FORD-3</t>
  </si>
  <si>
    <t>FORD - 3  TODAY</t>
  </si>
  <si>
    <t>3000 F at</t>
  </si>
  <si>
    <t>11.47</t>
  </si>
  <si>
    <t>Ford 12/19/2025 11.82 Put</t>
  </si>
  <si>
    <t>F 12/27/2024 11.50 Cal</t>
  </si>
  <si>
    <t>POSITION 2024-FORD-4</t>
  </si>
  <si>
    <t>FORD - 4  TODAY</t>
  </si>
  <si>
    <t>4000 F at</t>
  </si>
  <si>
    <t>9.69</t>
  </si>
  <si>
    <t>Qty
or
Shares Controlled if Position Opening Option</t>
  </si>
  <si>
    <t>Ken Bkg</t>
  </si>
  <si>
    <t>Ford 12/19/2025 9.82 Put</t>
  </si>
  <si>
    <t>Ken SEP</t>
  </si>
  <si>
    <t>Ford 1/17/2025 9.82 Call</t>
  </si>
  <si>
    <t>CurrentDateIndex</t>
  </si>
  <si>
    <t>POSITION 2024-FORD-5</t>
  </si>
  <si>
    <t>9 Months</t>
  </si>
  <si>
    <t>FORD - 5  TODAY</t>
  </si>
  <si>
    <t>6000 F at</t>
  </si>
  <si>
    <t>10.07</t>
  </si>
  <si>
    <t>Ford 1/31/2025 10.00 Call</t>
  </si>
  <si>
    <t>OK 12/30/2024</t>
  </si>
  <si>
    <t>Date of Close</t>
  </si>
  <si>
    <t>POSITION 2024-Nvidia-2</t>
  </si>
  <si>
    <t>4 Months</t>
  </si>
  <si>
    <t>NVDA - 2  CLOSED</t>
  </si>
  <si>
    <t>200 NVDA at 146.56 on 11/13/2024</t>
  </si>
  <si>
    <t>POSITION 2024-MCD-1</t>
  </si>
  <si>
    <t>6 Months</t>
  </si>
  <si>
    <t>MCD -1  TODAY</t>
  </si>
  <si>
    <t>100 MCD at 296.60 on 12/16/2024</t>
  </si>
  <si>
    <t>MCD</t>
  </si>
  <si>
    <t>MCD 6/20/25 295 Put</t>
  </si>
  <si>
    <t>MCD 01/17/2025 295 Call</t>
  </si>
  <si>
    <t>POSITION 2025-CVX-1</t>
  </si>
  <si>
    <t>8 Months</t>
  </si>
  <si>
    <t>400 CVX at 145.00 on 01/02/2025/2024</t>
  </si>
  <si>
    <t>CVX</t>
  </si>
  <si>
    <t>SIGMA
TOTAL
INVESTMENT</t>
  </si>
  <si>
    <t>SIGMA
PROFIT
TO DATE</t>
  </si>
  <si>
    <t>SIGMA
PENDING PROFIT
OVER NEXT 30 DAYS</t>
  </si>
  <si>
    <t>Rollover</t>
  </si>
  <si>
    <t>Inherited</t>
  </si>
  <si>
    <t>MCD 02/14/2025 285 Call</t>
  </si>
  <si>
    <t>SIGMA
PENDING PROFIT
AT CLOSE OF ALL POSITIONS</t>
  </si>
  <si>
    <t>TBD</t>
  </si>
  <si>
    <t>POSITION 2024-FORD-6</t>
  </si>
  <si>
    <t>PRE</t>
  </si>
  <si>
    <t>FORD - 6 TODAY</t>
  </si>
  <si>
    <t>Ford 1/17/2025 9.50Put</t>
  </si>
  <si>
    <t>CLOSED</t>
  </si>
  <si>
    <t>PRE-SELL PUT</t>
  </si>
  <si>
    <t>Ford 1/17/2025 10.00 Put</t>
  </si>
  <si>
    <t>For2/14/2025 10.00 Call</t>
  </si>
  <si>
    <t>SEP</t>
  </si>
  <si>
    <t>MISC STOCKS</t>
  </si>
  <si>
    <t>YES</t>
  </si>
  <si>
    <t>STOCK</t>
  </si>
  <si>
    <t>FBTC</t>
  </si>
  <si>
    <t>NVDA</t>
  </si>
  <si>
    <t>TQQQ</t>
  </si>
  <si>
    <t>WMT</t>
  </si>
  <si>
    <t>Ford 1/24/2025 10.50 Put</t>
  </si>
  <si>
    <t>AMZN</t>
  </si>
  <si>
    <t>OK 1/23/2024</t>
  </si>
  <si>
    <t>Ford 9/19/2025 9.00 Put</t>
  </si>
  <si>
    <t>Ford 2/28/2025 10.00 Call</t>
  </si>
  <si>
    <t>Yield Segment Days</t>
  </si>
  <si>
    <t>Yield
Segment
and
Table Row and Table Column Reference</t>
  </si>
  <si>
    <t>Time Weighted Average Investment</t>
  </si>
  <si>
    <t>Yield
Segment
Index
INDX</t>
  </si>
  <si>
    <t>N0</t>
  </si>
  <si>
    <t>SUM</t>
  </si>
  <si>
    <t>CORRECT CAL EQUATION</t>
  </si>
  <si>
    <t>PROFIT TO END OF POSITION</t>
  </si>
  <si>
    <t>Sum</t>
  </si>
  <si>
    <t>Time Weighted Average Investment to End of Position</t>
  </si>
  <si>
    <t>Profit or (Loss) to End of Position</t>
  </si>
  <si>
    <t>N Days from Initial Investment to End of Position</t>
  </si>
  <si>
    <t>Yield to End of Position Based on Time Weighted Average Invest</t>
  </si>
  <si>
    <t>CVX -1  CLOSED</t>
  </si>
  <si>
    <t>OK 1/30/2025</t>
  </si>
  <si>
    <t>AMXN</t>
  </si>
  <si>
    <t>F</t>
  </si>
  <si>
    <t>2/28//2025</t>
  </si>
  <si>
    <t>MODIFY</t>
  </si>
  <si>
    <t>RESTORE</t>
  </si>
  <si>
    <t>MODS FINISHED</t>
  </si>
  <si>
    <t>CLOSE POSITION</t>
  </si>
  <si>
    <t>ADD NEW POSITION</t>
  </si>
  <si>
    <t>End of Position Date</t>
  </si>
  <si>
    <t>F 9/19/2025 10.00 Put</t>
  </si>
  <si>
    <t>F 2/7/2025 9.50 Call</t>
  </si>
  <si>
    <t>F 1/24/2025 10.00 Call</t>
  </si>
  <si>
    <t>DELETE POSITION</t>
  </si>
  <si>
    <t>END PROGRAM</t>
  </si>
  <si>
    <t>Profit or (Loss) to Today</t>
  </si>
  <si>
    <t>Yield to Today Bsed on Time Weighted Average Investment</t>
  </si>
  <si>
    <t>Annualized Yield to Today in Percent (Actual)</t>
  </si>
  <si>
    <t>Annualized Yield in End of Position</t>
  </si>
  <si>
    <t>FORD - 1  TO TODAY</t>
  </si>
  <si>
    <t>FORD - 1  TO END OF POSITION</t>
  </si>
  <si>
    <t>Ford Motor Company</t>
  </si>
  <si>
    <t>Delta
Investment</t>
  </si>
  <si>
    <t xml:space="preserve">Running
Investment
</t>
  </si>
  <si>
    <t>Number of Days</t>
  </si>
  <si>
    <t>Cash
In or Out</t>
  </si>
  <si>
    <t>Product
of the
Running Investment
and the
Number of Days</t>
  </si>
  <si>
    <t>Today's
Date
if Entry is
Not Closed</t>
  </si>
  <si>
    <t>Date
Closed
if Entry is
Closed</t>
  </si>
  <si>
    <t>Today's Price
if Entry is
Not Closed</t>
  </si>
  <si>
    <t>Closing Price
if Entry is
Closed</t>
  </si>
  <si>
    <t>Today's
Value
If Entry is
Not Closed</t>
  </si>
  <si>
    <t>Cash
In or Out
If Entry is Closed</t>
  </si>
  <si>
    <t>ONGOING INVESTMENT</t>
  </si>
  <si>
    <t>Product
of
Running Investment
and the Number of Days to End of Position</t>
  </si>
  <si>
    <t>Number of Days For End of Position</t>
  </si>
  <si>
    <t>GLD</t>
  </si>
  <si>
    <t>FORD - 7 TODAY</t>
  </si>
  <si>
    <t>Purchase via Exercised Put</t>
  </si>
  <si>
    <t>F 2/7/2025 10.00 Put</t>
  </si>
  <si>
    <t>Closed due to Exercise of Put</t>
  </si>
  <si>
    <t>F 1/16/2026 9.82 Put</t>
  </si>
  <si>
    <t>F 3/7/2025 9.5 Call</t>
  </si>
  <si>
    <t>F 2/7/2025 9.00 Put</t>
  </si>
  <si>
    <t>Underlying
Stock
Price</t>
  </si>
  <si>
    <t>FORD 1</t>
  </si>
  <si>
    <t>F 3/7/2025 9.50 Call</t>
  </si>
  <si>
    <t>3/72025</t>
  </si>
  <si>
    <t>CASH FROM PENDING SPECIAL DIVIDENDS</t>
  </si>
  <si>
    <t>Expired</t>
  </si>
  <si>
    <t>Annualized Yield Calculations</t>
  </si>
  <si>
    <t>N Days</t>
  </si>
  <si>
    <t>POSITION NAME</t>
  </si>
  <si>
    <t>FORD -1</t>
  </si>
  <si>
    <t>FORD -2</t>
  </si>
  <si>
    <t>FORD -3</t>
  </si>
  <si>
    <t>FORD -4</t>
  </si>
  <si>
    <t>FORD -5</t>
  </si>
  <si>
    <t>FORD -6</t>
  </si>
  <si>
    <t>FORD -7</t>
  </si>
  <si>
    <t>MCD -1</t>
  </si>
  <si>
    <t>NDAYS
*
ANN YIELD</t>
  </si>
  <si>
    <t>ANNUALIZED YIELD</t>
  </si>
  <si>
    <t>SUMS</t>
  </si>
  <si>
    <t>Aannualized
Yield</t>
  </si>
  <si>
    <t>OVERALL
ANNUALIZED
YIELD
in Per Cent</t>
  </si>
  <si>
    <t>FORD 2 DATA OK</t>
  </si>
  <si>
    <t>FORD 1 DATA OK</t>
  </si>
  <si>
    <t>Bkg</t>
  </si>
  <si>
    <t xml:space="preserve">, </t>
  </si>
  <si>
    <t>PREVIOUSLY OPEN  CALLS BOUGHT BACK ON 2/12</t>
  </si>
  <si>
    <t>LET OPEN CALLS EXPIRE ON FEB 14</t>
  </si>
  <si>
    <t>HOLD PURCHASE OF NEW SHORT CALLS PENDING EX-DIVIDEND DATE OF FEB 18</t>
  </si>
  <si>
    <t>MCD 06/20/2025 295 Call</t>
  </si>
  <si>
    <t>EOP</t>
  </si>
  <si>
    <t>No Further Rolls</t>
  </si>
  <si>
    <t>MCD 6/20/25 2950Put</t>
  </si>
  <si>
    <t>WALMART SUM</t>
  </si>
  <si>
    <t>FOUND UNACCOUNTABLE SHARES</t>
  </si>
  <si>
    <t>Ongoing
Investment
Dollars</t>
  </si>
  <si>
    <t>RESTORE POSITION</t>
  </si>
  <si>
    <t>NVDA-1 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</si>
</sst>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_(&quot;$&quot;* #,##0.000_);_(&quot;$&quot;* \(#,##0.000\);_(&quot;$&quot;* &quot;-&quot;???_);_(@_)"/>
    <numFmt numFmtId="166" formatCode="#,##0.000"/>
    <numFmt numFmtId="167" formatCode="0.00_);\(0.00\)"/>
  </numFmts>
  <fonts count="1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52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37" fontId="0" fillId="0" borderId="0" xfId="0" applyNumberFormat="1" applyAlignment="1">
      <alignment horizontal="center"/>
    </xf>
    <xf numFmtId="0" fontId="0" fillId="3" borderId="1" xfId="0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4" fontId="0" fillId="0" borderId="1" xfId="0" applyNumberFormat="1" applyBorder="1" applyAlignment="1">
      <alignment horizontal="left"/>
    </xf>
    <xf numFmtId="44" fontId="0" fillId="0" borderId="1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49" fontId="0" fillId="6" borderId="5" xfId="0" applyNumberFormat="1" applyFill="1" applyBorder="1" applyAlignment="1">
      <alignment horizontal="center" vertical="top"/>
    </xf>
    <xf numFmtId="49" fontId="0" fillId="6" borderId="7" xfId="0" applyNumberFormat="1" applyFill="1" applyBorder="1" applyAlignment="1">
      <alignment horizontal="left" vertical="top"/>
    </xf>
    <xf numFmtId="49" fontId="0" fillId="6" borderId="8" xfId="0" applyNumberFormat="1" applyFill="1" applyBorder="1" applyAlignment="1">
      <alignment horizontal="center" vertical="top"/>
    </xf>
    <xf numFmtId="0" fontId="0" fillId="0" borderId="8" xfId="0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49" fontId="0" fillId="0" borderId="8" xfId="0" quotePrefix="1" applyNumberFormat="1" applyBorder="1" applyAlignment="1">
      <alignment horizontal="center" vertical="top"/>
    </xf>
    <xf numFmtId="0" fontId="0" fillId="0" borderId="9" xfId="0" applyBorder="1" applyAlignment="1">
      <alignment horizontal="right"/>
    </xf>
    <xf numFmtId="0" fontId="0" fillId="6" borderId="1" xfId="0" applyFill="1" applyBorder="1" applyAlignment="1">
      <alignment horizontal="center"/>
    </xf>
    <xf numFmtId="43" fontId="0" fillId="0" borderId="0" xfId="0" applyNumberFormat="1"/>
    <xf numFmtId="1" fontId="0" fillId="7" borderId="11" xfId="0" applyNumberFormat="1" applyFill="1" applyBorder="1" applyAlignment="1">
      <alignment horizontal="center" vertical="top"/>
    </xf>
    <xf numFmtId="164" fontId="0" fillId="7" borderId="11" xfId="0" applyNumberFormat="1" applyFill="1" applyBorder="1" applyAlignment="1">
      <alignment horizontal="center" vertical="top"/>
    </xf>
    <xf numFmtId="0" fontId="0" fillId="7" borderId="1" xfId="0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49" fontId="0" fillId="6" borderId="4" xfId="0" applyNumberFormat="1" applyFill="1" applyBorder="1" applyAlignment="1">
      <alignment horizontal="left" vertical="top"/>
    </xf>
    <xf numFmtId="2" fontId="0" fillId="7" borderId="11" xfId="0" applyNumberFormat="1" applyFill="1" applyBorder="1" applyAlignment="1">
      <alignment horizontal="center" vertical="top"/>
    </xf>
    <xf numFmtId="49" fontId="0" fillId="7" borderId="10" xfId="0" applyNumberFormat="1" applyFill="1" applyBorder="1" applyAlignment="1">
      <alignment horizontal="center" vertical="top"/>
    </xf>
    <xf numFmtId="49" fontId="0" fillId="7" borderId="12" xfId="0" applyNumberFormat="1" applyFill="1" applyBorder="1" applyAlignment="1">
      <alignment horizontal="center" vertical="top"/>
    </xf>
    <xf numFmtId="49" fontId="0" fillId="7" borderId="1" xfId="0" applyNumberFormat="1" applyFill="1" applyBorder="1" applyAlignment="1">
      <alignment horizontal="center"/>
    </xf>
    <xf numFmtId="49" fontId="0" fillId="7" borderId="12" xfId="0" applyNumberFormat="1" applyFill="1" applyBorder="1" applyAlignment="1">
      <alignment horizontal="center"/>
    </xf>
    <xf numFmtId="14" fontId="0" fillId="7" borderId="11" xfId="0" applyNumberFormat="1" applyFill="1" applyBorder="1" applyAlignment="1">
      <alignment horizontal="center" vertical="top"/>
    </xf>
    <xf numFmtId="44" fontId="0" fillId="7" borderId="11" xfId="0" quotePrefix="1" applyNumberFormat="1" applyFill="1" applyBorder="1" applyAlignment="1">
      <alignment horizontal="left" vertical="top"/>
    </xf>
    <xf numFmtId="44" fontId="0" fillId="7" borderId="1" xfId="0" applyNumberFormat="1" applyFill="1" applyBorder="1" applyAlignment="1">
      <alignment horizontal="left"/>
    </xf>
    <xf numFmtId="44" fontId="0" fillId="0" borderId="1" xfId="0" quotePrefix="1" applyNumberFormat="1" applyBorder="1" applyAlignment="1">
      <alignment horizontal="center" vertical="top"/>
    </xf>
    <xf numFmtId="14" fontId="3" fillId="0" borderId="0" xfId="0" applyNumberFormat="1" applyFont="1" applyAlignment="1">
      <alignment horizontal="center"/>
    </xf>
    <xf numFmtId="49" fontId="0" fillId="6" borderId="7" xfId="0" applyNumberFormat="1" applyFill="1" applyBorder="1" applyAlignment="1">
      <alignment horizontal="left" vertical="top" wrapText="1"/>
    </xf>
    <xf numFmtId="0" fontId="0" fillId="0" borderId="0" xfId="0" applyAlignment="1">
      <alignment vertical="top"/>
    </xf>
    <xf numFmtId="44" fontId="0" fillId="0" borderId="0" xfId="0" applyNumberFormat="1" applyAlignment="1">
      <alignment horizontal="right" vertical="top"/>
    </xf>
    <xf numFmtId="49" fontId="0" fillId="5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49" fontId="0" fillId="5" borderId="8" xfId="0" applyNumberFormat="1" applyFill="1" applyBorder="1" applyAlignment="1">
      <alignment horizontal="center" vertical="top" wrapText="1"/>
    </xf>
    <xf numFmtId="4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43" fontId="0" fillId="0" borderId="0" xfId="0" applyNumberFormat="1" applyAlignment="1">
      <alignment horizontal="right"/>
    </xf>
    <xf numFmtId="44" fontId="0" fillId="0" borderId="3" xfId="0" quotePrefix="1" applyNumberFormat="1" applyBorder="1" applyAlignment="1">
      <alignment horizontal="center" vertical="top"/>
    </xf>
    <xf numFmtId="43" fontId="0" fillId="0" borderId="0" xfId="0" applyNumberFormat="1" applyAlignment="1">
      <alignment horizontal="right" vertical="top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 vertical="top"/>
    </xf>
    <xf numFmtId="49" fontId="0" fillId="0" borderId="12" xfId="0" applyNumberFormat="1" applyBorder="1" applyAlignment="1">
      <alignment horizontal="center"/>
    </xf>
    <xf numFmtId="44" fontId="0" fillId="5" borderId="1" xfId="0" applyNumberFormat="1" applyFill="1" applyBorder="1" applyAlignment="1">
      <alignment horizontal="center"/>
    </xf>
    <xf numFmtId="0" fontId="0" fillId="0" borderId="19" xfId="0" applyBorder="1" applyAlignment="1">
      <alignment horizontal="right"/>
    </xf>
    <xf numFmtId="164" fontId="0" fillId="0" borderId="1" xfId="0" applyNumberFormat="1" applyBorder="1" applyAlignment="1">
      <alignment horizontal="center"/>
    </xf>
    <xf numFmtId="16" fontId="0" fillId="0" borderId="0" xfId="0" applyNumberFormat="1" applyAlignment="1">
      <alignment horizontal="center"/>
    </xf>
    <xf numFmtId="44" fontId="0" fillId="6" borderId="0" xfId="0" applyNumberFormat="1" applyFill="1" applyAlignment="1">
      <alignment horizontal="center"/>
    </xf>
    <xf numFmtId="44" fontId="0" fillId="6" borderId="0" xfId="0" applyNumberFormat="1" applyFill="1" applyAlignment="1">
      <alignment horizontal="right"/>
    </xf>
    <xf numFmtId="44" fontId="0" fillId="0" borderId="3" xfId="0" applyNumberFormat="1" applyBorder="1" applyAlignment="1">
      <alignment horizontal="left"/>
    </xf>
    <xf numFmtId="14" fontId="0" fillId="0" borderId="1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4" fontId="0" fillId="0" borderId="13" xfId="0" applyNumberFormat="1" applyBorder="1" applyAlignment="1">
      <alignment horizontal="right" vertical="top"/>
    </xf>
    <xf numFmtId="14" fontId="0" fillId="0" borderId="3" xfId="0" applyNumberFormat="1" applyBorder="1" applyAlignment="1">
      <alignment horizontal="center"/>
    </xf>
    <xf numFmtId="0" fontId="0" fillId="7" borderId="0" xfId="0" applyFill="1" applyAlignment="1">
      <alignment horizontal="center"/>
    </xf>
    <xf numFmtId="37" fontId="0" fillId="7" borderId="0" xfId="0" applyNumberFormat="1" applyFill="1" applyAlignment="1">
      <alignment horizontal="center"/>
    </xf>
    <xf numFmtId="0" fontId="0" fillId="2" borderId="0" xfId="0" applyFill="1" applyAlignment="1">
      <alignment horizontal="center" vertical="center" wrapText="1"/>
    </xf>
    <xf numFmtId="49" fontId="0" fillId="0" borderId="0" xfId="0" applyNumberFormat="1" applyAlignment="1">
      <alignment horizontal="center" vertical="top" wrapText="1"/>
    </xf>
    <xf numFmtId="49" fontId="0" fillId="6" borderId="21" xfId="0" applyNumberFormat="1" applyFill="1" applyBorder="1" applyAlignment="1">
      <alignment horizontal="left" vertical="top"/>
    </xf>
    <xf numFmtId="49" fontId="0" fillId="6" borderId="22" xfId="0" applyNumberFormat="1" applyFill="1" applyBorder="1" applyAlignment="1">
      <alignment horizontal="center" vertical="top"/>
    </xf>
    <xf numFmtId="0" fontId="0" fillId="3" borderId="22" xfId="0" applyFill="1" applyBorder="1" applyAlignment="1">
      <alignment horizontal="center"/>
    </xf>
    <xf numFmtId="49" fontId="0" fillId="7" borderId="2" xfId="0" applyNumberFormat="1" applyFill="1" applyBorder="1" applyAlignment="1">
      <alignment horizontal="center" vertical="top"/>
    </xf>
    <xf numFmtId="49" fontId="0" fillId="7" borderId="2" xfId="0" applyNumberFormat="1" applyFill="1" applyBorder="1" applyAlignment="1">
      <alignment horizontal="center"/>
    </xf>
    <xf numFmtId="49" fontId="0" fillId="3" borderId="2" xfId="0" applyNumberFormat="1" applyFill="1" applyBorder="1" applyAlignment="1">
      <alignment horizontal="center" vertical="top"/>
    </xf>
    <xf numFmtId="49" fontId="0" fillId="3" borderId="1" xfId="0" applyNumberFormat="1" applyFill="1" applyBorder="1" applyAlignment="1">
      <alignment horizontal="center"/>
    </xf>
    <xf numFmtId="49" fontId="0" fillId="3" borderId="2" xfId="0" applyNumberFormat="1" applyFill="1" applyBorder="1" applyAlignment="1">
      <alignment horizontal="center"/>
    </xf>
    <xf numFmtId="0" fontId="0" fillId="0" borderId="11" xfId="0" applyBorder="1" applyAlignment="1">
      <alignment horizontal="center" vertical="top" wrapText="1"/>
    </xf>
    <xf numFmtId="44" fontId="3" fillId="6" borderId="1" xfId="0" applyNumberFormat="1" applyFont="1" applyFill="1" applyBorder="1" applyAlignment="1">
      <alignment horizontal="left"/>
    </xf>
    <xf numFmtId="44" fontId="3" fillId="9" borderId="1" xfId="0" applyNumberFormat="1" applyFont="1" applyFill="1" applyBorder="1" applyAlignment="1">
      <alignment horizontal="left"/>
    </xf>
    <xf numFmtId="44" fontId="3" fillId="8" borderId="1" xfId="0" applyNumberFormat="1" applyFont="1" applyFill="1" applyBorder="1" applyAlignment="1">
      <alignment horizontal="left"/>
    </xf>
    <xf numFmtId="44" fontId="3" fillId="6" borderId="1" xfId="0" applyNumberFormat="1" applyFont="1" applyFill="1" applyBorder="1" applyAlignment="1">
      <alignment horizontal="center"/>
    </xf>
    <xf numFmtId="44" fontId="3" fillId="6" borderId="1" xfId="0" quotePrefix="1" applyNumberFormat="1" applyFont="1" applyFill="1" applyBorder="1" applyAlignment="1">
      <alignment horizontal="center" vertical="top"/>
    </xf>
    <xf numFmtId="44" fontId="3" fillId="8" borderId="1" xfId="0" applyNumberFormat="1" applyFont="1" applyFill="1" applyBorder="1" applyAlignment="1">
      <alignment horizontal="center"/>
    </xf>
    <xf numFmtId="44" fontId="3" fillId="8" borderId="1" xfId="0" quotePrefix="1" applyNumberFormat="1" applyFont="1" applyFill="1" applyBorder="1" applyAlignment="1">
      <alignment horizontal="center" vertical="top"/>
    </xf>
    <xf numFmtId="0" fontId="0" fillId="5" borderId="20" xfId="0" applyFill="1" applyBorder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166" fontId="0" fillId="7" borderId="11" xfId="0" applyNumberFormat="1" applyFill="1" applyBorder="1" applyAlignment="1">
      <alignment horizontal="center" vertical="top" wrapText="1"/>
    </xf>
    <xf numFmtId="166" fontId="0" fillId="0" borderId="0" xfId="0" applyNumberFormat="1" applyAlignment="1">
      <alignment horizontal="right" vertical="center"/>
    </xf>
    <xf numFmtId="49" fontId="0" fillId="0" borderId="3" xfId="0" applyNumberForma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right"/>
    </xf>
    <xf numFmtId="0" fontId="3" fillId="6" borderId="1" xfId="0" applyFont="1" applyFill="1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166" fontId="0" fillId="5" borderId="1" xfId="0" applyNumberFormat="1" applyFill="1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49" fontId="0" fillId="7" borderId="1" xfId="0" applyNumberFormat="1" applyFill="1" applyBorder="1" applyAlignment="1">
      <alignment horizontal="center" vertical="top" wrapText="1"/>
    </xf>
    <xf numFmtId="0" fontId="3" fillId="8" borderId="1" xfId="0" applyFont="1" applyFill="1" applyBorder="1" applyAlignment="1">
      <alignment horizontal="center" vertical="top" wrapText="1"/>
    </xf>
    <xf numFmtId="49" fontId="0" fillId="7" borderId="1" xfId="0" applyNumberFormat="1" applyFill="1" applyBorder="1" applyAlignment="1">
      <alignment horizontal="center" vertical="top"/>
    </xf>
    <xf numFmtId="2" fontId="0" fillId="7" borderId="1" xfId="0" applyNumberFormat="1" applyFill="1" applyBorder="1" applyAlignment="1">
      <alignment horizontal="center" vertical="top"/>
    </xf>
    <xf numFmtId="1" fontId="0" fillId="7" borderId="1" xfId="0" applyNumberFormat="1" applyFill="1" applyBorder="1" applyAlignment="1">
      <alignment horizontal="center" vertical="top"/>
    </xf>
    <xf numFmtId="44" fontId="3" fillId="6" borderId="1" xfId="0" quotePrefix="1" applyNumberFormat="1" applyFont="1" applyFill="1" applyBorder="1" applyAlignment="1">
      <alignment horizontal="left" vertical="top"/>
    </xf>
    <xf numFmtId="14" fontId="3" fillId="6" borderId="1" xfId="0" applyNumberFormat="1" applyFont="1" applyFill="1" applyBorder="1" applyAlignment="1">
      <alignment horizontal="center"/>
    </xf>
    <xf numFmtId="1" fontId="3" fillId="6" borderId="1" xfId="0" applyNumberFormat="1" applyFont="1" applyFill="1" applyBorder="1" applyAlignment="1">
      <alignment horizontal="center"/>
    </xf>
    <xf numFmtId="14" fontId="3" fillId="8" borderId="1" xfId="0" applyNumberFormat="1" applyFont="1" applyFill="1" applyBorder="1" applyAlignment="1">
      <alignment horizontal="center"/>
    </xf>
    <xf numFmtId="1" fontId="3" fillId="8" borderId="1" xfId="0" applyNumberFormat="1" applyFont="1" applyFill="1" applyBorder="1" applyAlignment="1">
      <alignment horizontal="center"/>
    </xf>
    <xf numFmtId="44" fontId="0" fillId="0" borderId="2" xfId="0" applyNumberForma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" fontId="3" fillId="0" borderId="1" xfId="0" applyNumberFormat="1" applyFon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4" fontId="0" fillId="0" borderId="1" xfId="0" applyNumberFormat="1" applyBorder="1" applyAlignment="1">
      <alignment horizontal="right"/>
    </xf>
    <xf numFmtId="44" fontId="3" fillId="0" borderId="1" xfId="0" applyNumberFormat="1" applyFont="1" applyBorder="1" applyAlignment="1">
      <alignment horizontal="left"/>
    </xf>
    <xf numFmtId="14" fontId="3" fillId="0" borderId="1" xfId="0" applyNumberFormat="1" applyFont="1" applyBorder="1" applyAlignment="1">
      <alignment horizontal="center"/>
    </xf>
    <xf numFmtId="44" fontId="3" fillId="0" borderId="1" xfId="0" applyNumberFormat="1" applyFont="1" applyBorder="1" applyAlignment="1">
      <alignment horizontal="center"/>
    </xf>
    <xf numFmtId="44" fontId="3" fillId="0" borderId="1" xfId="0" quotePrefix="1" applyNumberFormat="1" applyFont="1" applyBorder="1" applyAlignment="1">
      <alignment horizontal="center" vertical="top"/>
    </xf>
    <xf numFmtId="44" fontId="3" fillId="6" borderId="29" xfId="0" applyNumberFormat="1" applyFont="1" applyFill="1" applyBorder="1" applyAlignment="1">
      <alignment horizontal="right" vertical="top"/>
    </xf>
    <xf numFmtId="44" fontId="3" fillId="8" borderId="29" xfId="0" applyNumberFormat="1" applyFont="1" applyFill="1" applyBorder="1" applyAlignment="1">
      <alignment horizontal="right" vertical="top"/>
    </xf>
    <xf numFmtId="49" fontId="0" fillId="0" borderId="2" xfId="0" applyNumberFormat="1" applyBorder="1" applyAlignment="1">
      <alignment horizontal="center"/>
    </xf>
    <xf numFmtId="44" fontId="3" fillId="0" borderId="29" xfId="0" applyNumberFormat="1" applyFont="1" applyBorder="1" applyAlignment="1">
      <alignment horizontal="right" vertical="top"/>
    </xf>
    <xf numFmtId="44" fontId="3" fillId="6" borderId="29" xfId="0" applyNumberFormat="1" applyFont="1" applyFill="1" applyBorder="1" applyAlignment="1">
      <alignment horizontal="right"/>
    </xf>
    <xf numFmtId="0" fontId="3" fillId="6" borderId="29" xfId="0" applyFont="1" applyFill="1" applyBorder="1" applyAlignment="1">
      <alignment horizontal="right"/>
    </xf>
    <xf numFmtId="2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44" fontId="0" fillId="0" borderId="31" xfId="0" applyNumberFormat="1" applyBorder="1" applyAlignment="1">
      <alignment horizont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43" fontId="3" fillId="6" borderId="33" xfId="0" applyNumberFormat="1" applyFont="1" applyFill="1" applyBorder="1" applyAlignment="1">
      <alignment horizontal="right"/>
    </xf>
    <xf numFmtId="0" fontId="3" fillId="6" borderId="31" xfId="0" applyFont="1" applyFill="1" applyBorder="1" applyAlignment="1">
      <alignment horizontal="left" vertical="center"/>
    </xf>
    <xf numFmtId="43" fontId="7" fillId="6" borderId="14" xfId="0" applyNumberFormat="1" applyFont="1" applyFill="1" applyBorder="1" applyAlignment="1">
      <alignment horizontal="right" vertical="center"/>
    </xf>
    <xf numFmtId="1" fontId="0" fillId="0" borderId="1" xfId="0" applyNumberFormat="1" applyBorder="1" applyAlignment="1">
      <alignment horizontal="center"/>
    </xf>
    <xf numFmtId="0" fontId="0" fillId="0" borderId="0" xfId="0" applyAlignment="1">
      <alignment vertical="top" wrapText="1"/>
    </xf>
    <xf numFmtId="1" fontId="0" fillId="0" borderId="0" xfId="0" applyNumberForma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44" fontId="0" fillId="0" borderId="0" xfId="0" quotePrefix="1" applyNumberFormat="1" applyAlignment="1">
      <alignment horizontal="left" vertical="top"/>
    </xf>
    <xf numFmtId="44" fontId="0" fillId="0" borderId="0" xfId="0" quotePrefix="1" applyNumberFormat="1" applyAlignment="1">
      <alignment horizontal="center" vertical="top"/>
    </xf>
    <xf numFmtId="44" fontId="0" fillId="5" borderId="1" xfId="0" quotePrefix="1" applyNumberFormat="1" applyFill="1" applyBorder="1" applyAlignment="1">
      <alignment horizontal="center" vertical="top"/>
    </xf>
    <xf numFmtId="49" fontId="0" fillId="0" borderId="2" xfId="0" applyNumberFormat="1" applyBorder="1" applyAlignment="1">
      <alignment horizontal="center" vertical="top"/>
    </xf>
    <xf numFmtId="44" fontId="0" fillId="0" borderId="29" xfId="0" applyNumberFormat="1" applyBorder="1" applyAlignment="1">
      <alignment horizontal="right" vertical="top"/>
    </xf>
    <xf numFmtId="49" fontId="0" fillId="5" borderId="2" xfId="0" applyNumberFormat="1" applyFill="1" applyBorder="1" applyAlignment="1">
      <alignment horizontal="center"/>
    </xf>
    <xf numFmtId="44" fontId="0" fillId="9" borderId="29" xfId="0" applyNumberFormat="1" applyFill="1" applyBorder="1" applyAlignment="1">
      <alignment horizontal="right" vertical="top"/>
    </xf>
    <xf numFmtId="44" fontId="0" fillId="8" borderId="29" xfId="0" applyNumberFormat="1" applyFill="1" applyBorder="1" applyAlignment="1">
      <alignment horizontal="right" vertical="top"/>
    </xf>
    <xf numFmtId="0" fontId="0" fillId="7" borderId="22" xfId="0" applyFill="1" applyBorder="1" applyAlignment="1">
      <alignment horizontal="left"/>
    </xf>
    <xf numFmtId="166" fontId="0" fillId="7" borderId="22" xfId="0" applyNumberFormat="1" applyFill="1" applyBorder="1" applyAlignment="1">
      <alignment horizontal="right"/>
    </xf>
    <xf numFmtId="0" fontId="0" fillId="5" borderId="22" xfId="0" applyFill="1" applyBorder="1" applyAlignment="1">
      <alignment horizontal="center"/>
    </xf>
    <xf numFmtId="0" fontId="0" fillId="5" borderId="22" xfId="0" applyFill="1" applyBorder="1" applyAlignment="1">
      <alignment horizontal="right"/>
    </xf>
    <xf numFmtId="0" fontId="0" fillId="3" borderId="22" xfId="0" applyFill="1" applyBorder="1" applyAlignment="1">
      <alignment horizontal="left"/>
    </xf>
    <xf numFmtId="49" fontId="0" fillId="6" borderId="2" xfId="0" applyNumberFormat="1" applyFill="1" applyBorder="1" applyAlignment="1">
      <alignment horizontal="left" vertical="top"/>
    </xf>
    <xf numFmtId="49" fontId="0" fillId="6" borderId="1" xfId="0" applyNumberFormat="1" applyFill="1" applyBorder="1" applyAlignment="1">
      <alignment horizontal="center" vertical="top"/>
    </xf>
    <xf numFmtId="166" fontId="0" fillId="6" borderId="1" xfId="0" applyNumberFormat="1" applyFill="1" applyBorder="1" applyAlignment="1">
      <alignment horizontal="right"/>
    </xf>
    <xf numFmtId="165" fontId="3" fillId="9" borderId="1" xfId="0" applyNumberFormat="1" applyFont="1" applyFill="1" applyBorder="1" applyAlignment="1">
      <alignment horizontal="center"/>
    </xf>
    <xf numFmtId="165" fontId="0" fillId="9" borderId="1" xfId="0" applyNumberFormat="1" applyFill="1" applyBorder="1" applyAlignment="1">
      <alignment horizontal="right"/>
    </xf>
    <xf numFmtId="165" fontId="3" fillId="8" borderId="1" xfId="0" applyNumberFormat="1" applyFon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6" fontId="0" fillId="7" borderId="1" xfId="0" applyNumberFormat="1" applyFill="1" applyBorder="1" applyAlignment="1">
      <alignment horizontal="center" vertical="top" wrapText="1"/>
    </xf>
    <xf numFmtId="164" fontId="0" fillId="7" borderId="1" xfId="0" applyNumberFormat="1" applyFill="1" applyBorder="1" applyAlignment="1">
      <alignment horizontal="center" vertical="top"/>
    </xf>
    <xf numFmtId="44" fontId="0" fillId="0" borderId="1" xfId="0" quotePrefix="1" applyNumberFormat="1" applyBorder="1" applyAlignment="1">
      <alignment horizontal="left" vertical="top"/>
    </xf>
    <xf numFmtId="14" fontId="3" fillId="5" borderId="1" xfId="0" applyNumberFormat="1" applyFont="1" applyFill="1" applyBorder="1" applyAlignment="1">
      <alignment horizontal="center"/>
    </xf>
    <xf numFmtId="37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right"/>
    </xf>
    <xf numFmtId="0" fontId="0" fillId="0" borderId="5" xfId="0" applyBorder="1" applyAlignment="1">
      <alignment horizontal="center" vertical="top" wrapText="1"/>
    </xf>
    <xf numFmtId="0" fontId="0" fillId="0" borderId="8" xfId="0" applyBorder="1" applyAlignment="1">
      <alignment vertical="top" wrapText="1"/>
    </xf>
    <xf numFmtId="44" fontId="0" fillId="0" borderId="11" xfId="0" quotePrefix="1" applyNumberFormat="1" applyBorder="1" applyAlignment="1">
      <alignment horizontal="left" vertical="top"/>
    </xf>
    <xf numFmtId="44" fontId="3" fillId="6" borderId="11" xfId="0" quotePrefix="1" applyNumberFormat="1" applyFont="1" applyFill="1" applyBorder="1" applyAlignment="1">
      <alignment horizontal="left" vertical="top"/>
    </xf>
    <xf numFmtId="49" fontId="0" fillId="0" borderId="17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44" fontId="0" fillId="0" borderId="3" xfId="0" applyNumberFormat="1" applyBorder="1" applyAlignment="1">
      <alignment horizontal="center"/>
    </xf>
    <xf numFmtId="44" fontId="0" fillId="0" borderId="15" xfId="0" applyNumberFormat="1" applyBorder="1" applyAlignment="1">
      <alignment horizontal="right" vertical="top"/>
    </xf>
    <xf numFmtId="14" fontId="3" fillId="0" borderId="11" xfId="0" applyNumberFormat="1" applyFont="1" applyBorder="1" applyAlignment="1">
      <alignment horizontal="center"/>
    </xf>
    <xf numFmtId="44" fontId="0" fillId="9" borderId="2" xfId="0" applyNumberFormat="1" applyFill="1" applyBorder="1" applyAlignment="1">
      <alignment horizontal="right"/>
    </xf>
    <xf numFmtId="0" fontId="0" fillId="9" borderId="1" xfId="0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1" fontId="3" fillId="6" borderId="1" xfId="0" applyNumberFormat="1" applyFont="1" applyFill="1" applyBorder="1" applyAlignment="1">
      <alignment horizontal="center" vertical="top"/>
    </xf>
    <xf numFmtId="0" fontId="3" fillId="0" borderId="1" xfId="0" applyFont="1" applyBorder="1" applyAlignment="1">
      <alignment horizontal="center"/>
    </xf>
    <xf numFmtId="164" fontId="3" fillId="6" borderId="1" xfId="0" applyNumberFormat="1" applyFont="1" applyFill="1" applyBorder="1" applyAlignment="1">
      <alignment horizontal="center"/>
    </xf>
    <xf numFmtId="44" fontId="3" fillId="6" borderId="36" xfId="0" applyNumberFormat="1" applyFont="1" applyFill="1" applyBorder="1" applyAlignment="1">
      <alignment horizontal="right"/>
    </xf>
    <xf numFmtId="49" fontId="0" fillId="3" borderId="1" xfId="0" applyNumberFormat="1" applyFill="1" applyBorder="1" applyAlignment="1">
      <alignment horizontal="center" vertical="top" wrapText="1"/>
    </xf>
    <xf numFmtId="164" fontId="3" fillId="6" borderId="1" xfId="0" applyNumberFormat="1" applyFont="1" applyFill="1" applyBorder="1" applyAlignment="1">
      <alignment horizontal="center" vertical="top"/>
    </xf>
    <xf numFmtId="1" fontId="3" fillId="8" borderId="1" xfId="0" applyNumberFormat="1" applyFont="1" applyFill="1" applyBorder="1" applyAlignment="1">
      <alignment horizontal="center" vertical="top"/>
    </xf>
    <xf numFmtId="0" fontId="0" fillId="0" borderId="29" xfId="0" applyBorder="1" applyAlignment="1">
      <alignment horizontal="center"/>
    </xf>
    <xf numFmtId="49" fontId="0" fillId="0" borderId="31" xfId="0" applyNumberFormat="1" applyBorder="1" applyAlignment="1">
      <alignment horizontal="center"/>
    </xf>
    <xf numFmtId="14" fontId="3" fillId="0" borderId="31" xfId="0" applyNumberFormat="1" applyFont="1" applyBorder="1" applyAlignment="1">
      <alignment horizontal="center"/>
    </xf>
    <xf numFmtId="0" fontId="0" fillId="0" borderId="31" xfId="0" applyBorder="1" applyAlignment="1">
      <alignment horizontal="left"/>
    </xf>
    <xf numFmtId="165" fontId="0" fillId="9" borderId="31" xfId="0" applyNumberFormat="1" applyFill="1" applyBorder="1" applyAlignment="1">
      <alignment horizontal="right"/>
    </xf>
    <xf numFmtId="165" fontId="3" fillId="8" borderId="31" xfId="0" applyNumberFormat="1" applyFont="1" applyFill="1" applyBorder="1" applyAlignment="1">
      <alignment horizontal="center"/>
    </xf>
    <xf numFmtId="165" fontId="0" fillId="8" borderId="31" xfId="0" applyNumberFormat="1" applyFill="1" applyBorder="1" applyAlignment="1">
      <alignment horizontal="center"/>
    </xf>
    <xf numFmtId="0" fontId="3" fillId="6" borderId="31" xfId="0" applyFont="1" applyFill="1" applyBorder="1" applyAlignment="1">
      <alignment horizontal="center"/>
    </xf>
    <xf numFmtId="0" fontId="3" fillId="6" borderId="31" xfId="0" applyFont="1" applyFill="1" applyBorder="1" applyAlignment="1">
      <alignment horizontal="right"/>
    </xf>
    <xf numFmtId="14" fontId="3" fillId="6" borderId="37" xfId="0" applyNumberFormat="1" applyFont="1" applyFill="1" applyBorder="1" applyAlignment="1">
      <alignment horizontal="center"/>
    </xf>
    <xf numFmtId="0" fontId="3" fillId="6" borderId="12" xfId="0" applyFont="1" applyFill="1" applyBorder="1"/>
    <xf numFmtId="0" fontId="3" fillId="6" borderId="1" xfId="0" applyFont="1" applyFill="1" applyBorder="1"/>
    <xf numFmtId="14" fontId="3" fillId="6" borderId="1" xfId="0" applyNumberFormat="1" applyFont="1" applyFill="1" applyBorder="1" applyAlignment="1">
      <alignment horizontal="center" vertical="top"/>
    </xf>
    <xf numFmtId="0" fontId="3" fillId="6" borderId="7" xfId="0" applyFont="1" applyFill="1" applyBorder="1"/>
    <xf numFmtId="0" fontId="3" fillId="6" borderId="8" xfId="0" applyFont="1" applyFill="1" applyBorder="1"/>
    <xf numFmtId="44" fontId="3" fillId="0" borderId="0" xfId="0" applyNumberFormat="1" applyFont="1" applyAlignment="1">
      <alignment horizontal="center"/>
    </xf>
    <xf numFmtId="0" fontId="3" fillId="6" borderId="6" xfId="0" applyFont="1" applyFill="1" applyBorder="1" applyAlignment="1">
      <alignment horizontal="center" vertical="top" wrapText="1"/>
    </xf>
    <xf numFmtId="0" fontId="3" fillId="6" borderId="1" xfId="0" applyFont="1" applyFill="1" applyBorder="1" applyAlignment="1">
      <alignment wrapText="1"/>
    </xf>
    <xf numFmtId="44" fontId="3" fillId="6" borderId="1" xfId="0" applyNumberFormat="1" applyFont="1" applyFill="1" applyBorder="1" applyAlignment="1">
      <alignment horizontal="center" vertical="top"/>
    </xf>
    <xf numFmtId="44" fontId="3" fillId="6" borderId="8" xfId="0" applyNumberFormat="1" applyFont="1" applyFill="1" applyBorder="1" applyAlignment="1">
      <alignment horizontal="center" vertical="top"/>
    </xf>
    <xf numFmtId="1" fontId="3" fillId="6" borderId="8" xfId="0" applyNumberFormat="1" applyFont="1" applyFill="1" applyBorder="1" applyAlignment="1">
      <alignment horizontal="center" vertical="top"/>
    </xf>
    <xf numFmtId="49" fontId="0" fillId="0" borderId="0" xfId="0" applyNumberFormat="1" applyAlignment="1">
      <alignment horizontal="left" vertical="top"/>
    </xf>
    <xf numFmtId="43" fontId="4" fillId="0" borderId="0" xfId="0" applyNumberFormat="1" applyFont="1" applyAlignment="1">
      <alignment horizontal="right" vertical="center"/>
    </xf>
    <xf numFmtId="166" fontId="3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 vertical="top"/>
    </xf>
    <xf numFmtId="44" fontId="0" fillId="0" borderId="0" xfId="0" applyNumberFormat="1" applyAlignment="1">
      <alignment horizontal="center" vertical="top"/>
    </xf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 wrapText="1"/>
    </xf>
    <xf numFmtId="49" fontId="0" fillId="6" borderId="10" xfId="0" applyNumberFormat="1" applyFill="1" applyBorder="1" applyAlignment="1">
      <alignment horizontal="left" vertical="top"/>
    </xf>
    <xf numFmtId="49" fontId="0" fillId="6" borderId="11" xfId="0" applyNumberFormat="1" applyFill="1" applyBorder="1" applyAlignment="1">
      <alignment horizontal="center" vertical="top"/>
    </xf>
    <xf numFmtId="0" fontId="3" fillId="6" borderId="40" xfId="0" applyFont="1" applyFill="1" applyBorder="1" applyAlignment="1">
      <alignment horizontal="left"/>
    </xf>
    <xf numFmtId="0" fontId="3" fillId="6" borderId="41" xfId="0" applyFont="1" applyFill="1" applyBorder="1" applyAlignment="1">
      <alignment horizontal="left" vertical="center"/>
    </xf>
    <xf numFmtId="0" fontId="3" fillId="6" borderId="35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right"/>
    </xf>
    <xf numFmtId="44" fontId="3" fillId="6" borderId="11" xfId="0" applyNumberFormat="1" applyFont="1" applyFill="1" applyBorder="1" applyAlignment="1">
      <alignment horizontal="center"/>
    </xf>
    <xf numFmtId="44" fontId="0" fillId="0" borderId="38" xfId="0" applyNumberFormat="1" applyBorder="1" applyAlignment="1">
      <alignment horizontal="right"/>
    </xf>
    <xf numFmtId="0" fontId="3" fillId="6" borderId="2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left"/>
    </xf>
    <xf numFmtId="44" fontId="3" fillId="6" borderId="38" xfId="0" applyNumberFormat="1" applyFont="1" applyFill="1" applyBorder="1" applyAlignment="1">
      <alignment horizontal="right"/>
    </xf>
    <xf numFmtId="4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49" fontId="0" fillId="0" borderId="30" xfId="0" applyNumberFormat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44" fontId="3" fillId="0" borderId="31" xfId="0" applyNumberFormat="1" applyFont="1" applyBorder="1" applyAlignment="1">
      <alignment horizontal="left"/>
    </xf>
    <xf numFmtId="44" fontId="0" fillId="0" borderId="31" xfId="0" applyNumberFormat="1" applyBorder="1" applyAlignment="1">
      <alignment horizontal="left"/>
    </xf>
    <xf numFmtId="1" fontId="3" fillId="0" borderId="31" xfId="0" applyNumberFormat="1" applyFont="1" applyBorder="1" applyAlignment="1">
      <alignment horizontal="center"/>
    </xf>
    <xf numFmtId="165" fontId="3" fillId="0" borderId="31" xfId="0" applyNumberFormat="1" applyFont="1" applyBorder="1" applyAlignment="1">
      <alignment horizontal="right"/>
    </xf>
    <xf numFmtId="44" fontId="3" fillId="0" borderId="31" xfId="0" applyNumberFormat="1" applyFont="1" applyBorder="1" applyAlignment="1">
      <alignment horizontal="center"/>
    </xf>
    <xf numFmtId="44" fontId="0" fillId="0" borderId="31" xfId="0" quotePrefix="1" applyNumberFormat="1" applyBorder="1" applyAlignment="1">
      <alignment horizontal="center" vertical="top"/>
    </xf>
    <xf numFmtId="44" fontId="0" fillId="0" borderId="37" xfId="0" applyNumberFormat="1" applyBorder="1" applyAlignment="1">
      <alignment horizontal="right" vertical="top"/>
    </xf>
    <xf numFmtId="0" fontId="0" fillId="6" borderId="8" xfId="0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14" fontId="3" fillId="6" borderId="6" xfId="0" applyNumberFormat="1" applyFont="1" applyFill="1" applyBorder="1" applyAlignment="1">
      <alignment horizontal="center"/>
    </xf>
    <xf numFmtId="14" fontId="3" fillId="6" borderId="9" xfId="0" applyNumberFormat="1" applyFont="1" applyFill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49" fontId="3" fillId="8" borderId="1" xfId="0" applyNumberFormat="1" applyFont="1" applyFill="1" applyBorder="1" applyAlignment="1">
      <alignment horizontal="center" vertical="top" wrapText="1"/>
    </xf>
    <xf numFmtId="0" fontId="0" fillId="5" borderId="1" xfId="0" applyFill="1" applyBorder="1" applyAlignment="1">
      <alignment horizontal="left"/>
    </xf>
    <xf numFmtId="0" fontId="0" fillId="5" borderId="29" xfId="0" applyFill="1" applyBorder="1" applyAlignment="1">
      <alignment horizontal="center"/>
    </xf>
    <xf numFmtId="0" fontId="0" fillId="0" borderId="29" xfId="0" applyBorder="1" applyAlignment="1">
      <alignment horizontal="right"/>
    </xf>
    <xf numFmtId="43" fontId="0" fillId="0" borderId="1" xfId="0" applyNumberFormat="1" applyBorder="1"/>
    <xf numFmtId="0" fontId="0" fillId="0" borderId="1" xfId="0" applyBorder="1"/>
    <xf numFmtId="0" fontId="3" fillId="6" borderId="31" xfId="0" applyFont="1" applyFill="1" applyBorder="1" applyAlignment="1">
      <alignment horizontal="center" vertical="center"/>
    </xf>
    <xf numFmtId="44" fontId="0" fillId="0" borderId="46" xfId="0" applyNumberFormat="1" applyBorder="1" applyAlignment="1">
      <alignment horizontal="right"/>
    </xf>
    <xf numFmtId="44" fontId="3" fillId="0" borderId="46" xfId="0" applyNumberFormat="1" applyFont="1" applyBorder="1" applyAlignment="1">
      <alignment horizontal="right"/>
    </xf>
    <xf numFmtId="43" fontId="0" fillId="0" borderId="46" xfId="0" applyNumberFormat="1" applyBorder="1"/>
    <xf numFmtId="0" fontId="0" fillId="0" borderId="46" xfId="0" applyBorder="1" applyAlignment="1">
      <alignment vertical="center"/>
    </xf>
    <xf numFmtId="0" fontId="0" fillId="0" borderId="3" xfId="0" applyBorder="1" applyAlignment="1">
      <alignment vertical="top" wrapText="1"/>
    </xf>
    <xf numFmtId="49" fontId="0" fillId="3" borderId="3" xfId="0" applyNumberFormat="1" applyFill="1" applyBorder="1" applyAlignment="1">
      <alignment horizontal="center" vertical="top" wrapText="1"/>
    </xf>
    <xf numFmtId="44" fontId="0" fillId="0" borderId="22" xfId="0" quotePrefix="1" applyNumberFormat="1" applyBorder="1" applyAlignment="1">
      <alignment horizontal="left" vertical="top"/>
    </xf>
    <xf numFmtId="49" fontId="0" fillId="3" borderId="12" xfId="0" applyNumberFormat="1" applyFill="1" applyBorder="1" applyAlignment="1">
      <alignment horizontal="center"/>
    </xf>
    <xf numFmtId="44" fontId="3" fillId="0" borderId="1" xfId="0" applyNumberFormat="1" applyFont="1" applyBorder="1" applyAlignment="1">
      <alignment horizontal="right"/>
    </xf>
    <xf numFmtId="1" fontId="3" fillId="0" borderId="1" xfId="0" applyNumberFormat="1" applyFont="1" applyBorder="1" applyAlignment="1">
      <alignment horizontal="center" vertical="top"/>
    </xf>
    <xf numFmtId="0" fontId="0" fillId="4" borderId="0" xfId="0" applyFill="1" applyAlignment="1">
      <alignment horizontal="center"/>
    </xf>
    <xf numFmtId="43" fontId="0" fillId="0" borderId="46" xfId="0" applyNumberFormat="1" applyBorder="1" applyAlignment="1">
      <alignment horizontal="right"/>
    </xf>
    <xf numFmtId="0" fontId="1" fillId="2" borderId="47" xfId="0" applyFont="1" applyFill="1" applyBorder="1" applyAlignment="1">
      <alignment horizontal="center" vertical="center" wrapText="1"/>
    </xf>
    <xf numFmtId="44" fontId="4" fillId="2" borderId="48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6" borderId="0" xfId="0" applyFill="1"/>
    <xf numFmtId="0" fontId="3" fillId="6" borderId="0" xfId="0" applyFont="1" applyFill="1"/>
    <xf numFmtId="44" fontId="3" fillId="9" borderId="29" xfId="0" applyNumberFormat="1" applyFont="1" applyFill="1" applyBorder="1" applyAlignment="1">
      <alignment horizontal="right"/>
    </xf>
    <xf numFmtId="49" fontId="0" fillId="0" borderId="0" xfId="0" applyNumberFormat="1"/>
    <xf numFmtId="0" fontId="0" fillId="6" borderId="0" xfId="0" applyFill="1" applyAlignment="1">
      <alignment horizontal="center" vertical="top"/>
    </xf>
    <xf numFmtId="0" fontId="0" fillId="3" borderId="0" xfId="0" applyFill="1" applyAlignment="1">
      <alignment horizontal="center" vertical="top"/>
    </xf>
    <xf numFmtId="14" fontId="3" fillId="6" borderId="0" xfId="0" applyNumberFormat="1" applyFont="1" applyFill="1" applyAlignment="1">
      <alignment horizontal="center"/>
    </xf>
    <xf numFmtId="49" fontId="3" fillId="6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 vertical="top"/>
    </xf>
    <xf numFmtId="14" fontId="3" fillId="3" borderId="0" xfId="0" applyNumberFormat="1" applyFon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" fontId="3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44" fontId="3" fillId="6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6" borderId="0" xfId="0" applyFont="1" applyFill="1" applyAlignment="1">
      <alignment horizontal="left"/>
    </xf>
    <xf numFmtId="0" fontId="3" fillId="0" borderId="0" xfId="0" applyFont="1"/>
    <xf numFmtId="14" fontId="3" fillId="0" borderId="0" xfId="0" applyNumberFormat="1" applyFont="1" applyAlignment="1">
      <alignment horizontal="center" vertical="top"/>
    </xf>
    <xf numFmtId="49" fontId="3" fillId="0" borderId="0" xfId="0" applyNumberFormat="1" applyFont="1"/>
    <xf numFmtId="0" fontId="3" fillId="6" borderId="0" xfId="0" applyFont="1" applyFill="1" applyAlignment="1">
      <alignment horizontal="center" vertical="top"/>
    </xf>
    <xf numFmtId="14" fontId="0" fillId="3" borderId="0" xfId="0" applyNumberFormat="1" applyFill="1" applyAlignment="1">
      <alignment horizontal="center"/>
    </xf>
    <xf numFmtId="37" fontId="0" fillId="3" borderId="0" xfId="0" applyNumberFormat="1" applyFill="1" applyAlignment="1">
      <alignment horizontal="center"/>
    </xf>
    <xf numFmtId="49" fontId="0" fillId="0" borderId="31" xfId="0" quotePrefix="1" applyNumberFormat="1" applyBorder="1" applyAlignment="1">
      <alignment horizontal="center" vertical="top"/>
    </xf>
    <xf numFmtId="44" fontId="0" fillId="5" borderId="29" xfId="0" applyNumberFormat="1" applyFill="1" applyBorder="1" applyAlignment="1">
      <alignment horizontal="right" vertical="top"/>
    </xf>
    <xf numFmtId="44" fontId="0" fillId="0" borderId="29" xfId="0" applyNumberFormat="1" applyBorder="1" applyAlignment="1">
      <alignment horizontal="right"/>
    </xf>
    <xf numFmtId="0" fontId="3" fillId="8" borderId="3" xfId="0" applyFont="1" applyFill="1" applyBorder="1" applyAlignment="1">
      <alignment horizontal="center" vertical="top" wrapText="1"/>
    </xf>
    <xf numFmtId="49" fontId="3" fillId="8" borderId="3" xfId="0" applyNumberFormat="1" applyFont="1" applyFill="1" applyBorder="1" applyAlignment="1">
      <alignment horizontal="center" vertical="top" wrapText="1"/>
    </xf>
    <xf numFmtId="44" fontId="3" fillId="3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44" fontId="3" fillId="0" borderId="29" xfId="0" applyNumberFormat="1" applyFont="1" applyBorder="1" applyAlignment="1">
      <alignment horizontal="right"/>
    </xf>
    <xf numFmtId="14" fontId="0" fillId="7" borderId="1" xfId="0" applyNumberFormat="1" applyFill="1" applyBorder="1" applyAlignment="1">
      <alignment horizontal="center" vertical="top"/>
    </xf>
    <xf numFmtId="2" fontId="0" fillId="9" borderId="1" xfId="0" applyNumberFormat="1" applyFill="1" applyBorder="1" applyAlignment="1">
      <alignment horizontal="center"/>
    </xf>
    <xf numFmtId="44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right"/>
    </xf>
    <xf numFmtId="44" fontId="0" fillId="9" borderId="1" xfId="0" applyNumberFormat="1" applyFill="1" applyBorder="1" applyAlignment="1">
      <alignment horizontal="right"/>
    </xf>
    <xf numFmtId="43" fontId="3" fillId="0" borderId="29" xfId="0" applyNumberFormat="1" applyFont="1" applyBorder="1" applyAlignment="1">
      <alignment horizontal="right"/>
    </xf>
    <xf numFmtId="0" fontId="3" fillId="0" borderId="1" xfId="0" applyFont="1" applyBorder="1" applyAlignment="1">
      <alignment horizontal="left" vertical="center"/>
    </xf>
    <xf numFmtId="166" fontId="0" fillId="0" borderId="31" xfId="0" applyNumberFormat="1" applyBorder="1" applyAlignment="1">
      <alignment horizontal="right"/>
    </xf>
    <xf numFmtId="44" fontId="0" fillId="0" borderId="31" xfId="0" applyNumberFormat="1" applyBorder="1" applyAlignment="1">
      <alignment horizontal="right"/>
    </xf>
    <xf numFmtId="49" fontId="0" fillId="0" borderId="37" xfId="0" applyNumberFormat="1" applyBorder="1" applyAlignment="1">
      <alignment horizontal="center"/>
    </xf>
    <xf numFmtId="0" fontId="3" fillId="8" borderId="22" xfId="0" applyFont="1" applyFill="1" applyBorder="1" applyAlignment="1">
      <alignment horizontal="center"/>
    </xf>
    <xf numFmtId="0" fontId="3" fillId="8" borderId="22" xfId="0" applyFont="1" applyFill="1" applyBorder="1" applyAlignment="1">
      <alignment horizontal="right"/>
    </xf>
    <xf numFmtId="14" fontId="3" fillId="8" borderId="24" xfId="0" applyNumberFormat="1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right"/>
    </xf>
    <xf numFmtId="0" fontId="3" fillId="6" borderId="2" xfId="0" applyFont="1" applyFill="1" applyBorder="1" applyAlignment="1">
      <alignment horizontal="center"/>
    </xf>
    <xf numFmtId="0" fontId="3" fillId="6" borderId="30" xfId="0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/>
    </xf>
    <xf numFmtId="14" fontId="3" fillId="0" borderId="3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4" fontId="3" fillId="6" borderId="3" xfId="0" applyNumberFormat="1" applyFont="1" applyFill="1" applyBorder="1" applyAlignment="1">
      <alignment horizontal="center"/>
    </xf>
    <xf numFmtId="1" fontId="3" fillId="6" borderId="3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49" fontId="3" fillId="2" borderId="11" xfId="0" applyNumberFormat="1" applyFont="1" applyFill="1" applyBorder="1" applyAlignment="1">
      <alignment horizontal="center" vertical="top" wrapText="1"/>
    </xf>
    <xf numFmtId="44" fontId="0" fillId="7" borderId="0" xfId="0" applyNumberFormat="1" applyFill="1" applyAlignment="1">
      <alignment horizontal="center"/>
    </xf>
    <xf numFmtId="49" fontId="0" fillId="7" borderId="3" xfId="0" applyNumberFormat="1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4" fontId="0" fillId="7" borderId="3" xfId="0" applyNumberForma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164" fontId="0" fillId="7" borderId="3" xfId="0" applyNumberFormat="1" applyFill="1" applyBorder="1" applyAlignment="1">
      <alignment horizontal="center"/>
    </xf>
    <xf numFmtId="49" fontId="0" fillId="7" borderId="17" xfId="0" applyNumberFormat="1" applyFill="1" applyBorder="1" applyAlignment="1">
      <alignment horizontal="center" vertical="top"/>
    </xf>
    <xf numFmtId="14" fontId="0" fillId="7" borderId="18" xfId="0" applyNumberFormat="1" applyFill="1" applyBorder="1" applyAlignment="1">
      <alignment horizontal="center" vertical="top"/>
    </xf>
    <xf numFmtId="1" fontId="0" fillId="7" borderId="3" xfId="0" applyNumberFormat="1" applyFill="1" applyBorder="1" applyAlignment="1">
      <alignment horizontal="center"/>
    </xf>
    <xf numFmtId="44" fontId="0" fillId="0" borderId="3" xfId="0" applyNumberFormat="1" applyBorder="1" applyAlignment="1">
      <alignment horizontal="right"/>
    </xf>
    <xf numFmtId="44" fontId="3" fillId="6" borderId="3" xfId="0" applyNumberFormat="1" applyFont="1" applyFill="1" applyBorder="1" applyAlignment="1">
      <alignment horizontal="center"/>
    </xf>
    <xf numFmtId="44" fontId="3" fillId="6" borderId="33" xfId="0" applyNumberFormat="1" applyFont="1" applyFill="1" applyBorder="1" applyAlignment="1">
      <alignment horizontal="right" vertical="top"/>
    </xf>
    <xf numFmtId="49" fontId="0" fillId="0" borderId="46" xfId="0" applyNumberFormat="1" applyBorder="1" applyAlignment="1">
      <alignment horizontal="center"/>
    </xf>
    <xf numFmtId="0" fontId="0" fillId="0" borderId="46" xfId="0" applyBorder="1"/>
    <xf numFmtId="49" fontId="3" fillId="6" borderId="14" xfId="0" applyNumberFormat="1" applyFont="1" applyFill="1" applyBorder="1" applyAlignment="1">
      <alignment horizontal="center"/>
    </xf>
    <xf numFmtId="44" fontId="3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4" fontId="0" fillId="0" borderId="51" xfId="0" applyNumberFormat="1" applyBorder="1" applyAlignment="1">
      <alignment horizontal="center"/>
    </xf>
    <xf numFmtId="44" fontId="0" fillId="0" borderId="52" xfId="0" applyNumberFormat="1" applyBorder="1" applyAlignment="1">
      <alignment horizontal="right" vertical="top"/>
    </xf>
    <xf numFmtId="44" fontId="0" fillId="0" borderId="53" xfId="0" applyNumberFormat="1" applyBorder="1" applyAlignment="1">
      <alignment horizontal="center"/>
    </xf>
    <xf numFmtId="44" fontId="0" fillId="0" borderId="55" xfId="0" applyNumberFormat="1" applyBorder="1" applyAlignment="1">
      <alignment horizontal="right" vertical="top"/>
    </xf>
    <xf numFmtId="44" fontId="3" fillId="6" borderId="53" xfId="0" quotePrefix="1" applyNumberFormat="1" applyFont="1" applyFill="1" applyBorder="1" applyAlignment="1">
      <alignment horizontal="center" vertical="top"/>
    </xf>
    <xf numFmtId="0" fontId="0" fillId="0" borderId="54" xfId="0" applyBorder="1" applyAlignment="1">
      <alignment horizontal="center"/>
    </xf>
    <xf numFmtId="0" fontId="3" fillId="0" borderId="53" xfId="0" applyFont="1" applyBorder="1" applyAlignment="1">
      <alignment horizontal="center"/>
    </xf>
    <xf numFmtId="44" fontId="0" fillId="0" borderId="55" xfId="0" applyNumberFormat="1" applyBorder="1" applyAlignment="1">
      <alignment horizontal="right"/>
    </xf>
    <xf numFmtId="0" fontId="3" fillId="0" borderId="57" xfId="0" applyFont="1" applyBorder="1" applyAlignment="1">
      <alignment horizontal="center"/>
    </xf>
    <xf numFmtId="44" fontId="0" fillId="0" borderId="58" xfId="0" applyNumberFormat="1" applyBorder="1" applyAlignment="1">
      <alignment horizontal="right"/>
    </xf>
    <xf numFmtId="0" fontId="3" fillId="6" borderId="45" xfId="0" applyFont="1" applyFill="1" applyBorder="1" applyAlignment="1">
      <alignment horizontal="center" vertical="top"/>
    </xf>
    <xf numFmtId="0" fontId="3" fillId="6" borderId="10" xfId="0" applyFont="1" applyFill="1" applyBorder="1"/>
    <xf numFmtId="0" fontId="3" fillId="6" borderId="11" xfId="0" applyFont="1" applyFill="1" applyBorder="1"/>
    <xf numFmtId="0" fontId="0" fillId="2" borderId="26" xfId="0" applyFill="1" applyBorder="1"/>
    <xf numFmtId="0" fontId="6" fillId="2" borderId="59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43" fontId="7" fillId="6" borderId="37" xfId="0" applyNumberFormat="1" applyFont="1" applyFill="1" applyBorder="1" applyAlignment="1">
      <alignment horizontal="right" vertical="center"/>
    </xf>
    <xf numFmtId="0" fontId="3" fillId="9" borderId="31" xfId="0" applyFont="1" applyFill="1" applyBorder="1" applyAlignment="1">
      <alignment horizontal="center"/>
    </xf>
    <xf numFmtId="44" fontId="2" fillId="0" borderId="0" xfId="0" applyNumberFormat="1" applyFont="1" applyAlignment="1">
      <alignment horizontal="center" vertical="center"/>
    </xf>
    <xf numFmtId="44" fontId="0" fillId="6" borderId="0" xfId="0" applyNumberFormat="1" applyFill="1" applyAlignment="1">
      <alignment horizontal="center" vertical="center"/>
    </xf>
    <xf numFmtId="44" fontId="0" fillId="5" borderId="20" xfId="0" applyNumberFormat="1" applyFill="1" applyBorder="1" applyAlignment="1">
      <alignment horizontal="center" vertical="center"/>
    </xf>
    <xf numFmtId="44" fontId="0" fillId="3" borderId="0" xfId="0" applyNumberFormat="1" applyFill="1" applyAlignment="1">
      <alignment horizontal="right"/>
    </xf>
    <xf numFmtId="44" fontId="0" fillId="0" borderId="0" xfId="0" applyNumberFormat="1" applyAlignment="1">
      <alignment horizontal="left"/>
    </xf>
    <xf numFmtId="44" fontId="0" fillId="0" borderId="0" xfId="0" applyNumberFormat="1"/>
    <xf numFmtId="2" fontId="0" fillId="0" borderId="0" xfId="0" applyNumberFormat="1"/>
    <xf numFmtId="14" fontId="3" fillId="0" borderId="1" xfId="0" applyNumberFormat="1" applyFont="1" applyBorder="1" applyAlignment="1">
      <alignment horizontal="center" vertical="top"/>
    </xf>
    <xf numFmtId="14" fontId="0" fillId="0" borderId="0" xfId="0" applyNumberFormat="1" applyAlignment="1">
      <alignment horizontal="right"/>
    </xf>
    <xf numFmtId="0" fontId="3" fillId="3" borderId="31" xfId="0" applyFont="1" applyFill="1" applyBorder="1" applyAlignment="1">
      <alignment horizontal="right"/>
    </xf>
    <xf numFmtId="14" fontId="3" fillId="3" borderId="37" xfId="0" applyNumberFormat="1" applyFont="1" applyFill="1" applyBorder="1" applyAlignment="1">
      <alignment horizontal="center"/>
    </xf>
    <xf numFmtId="0" fontId="0" fillId="0" borderId="54" xfId="0" applyBorder="1"/>
    <xf numFmtId="0" fontId="0" fillId="0" borderId="54" xfId="0" applyBorder="1" applyAlignment="1">
      <alignment horizontal="center" vertical="top"/>
    </xf>
    <xf numFmtId="165" fontId="0" fillId="0" borderId="0" xfId="0" applyNumberFormat="1" applyAlignment="1">
      <alignment horizontal="right"/>
    </xf>
    <xf numFmtId="44" fontId="3" fillId="6" borderId="0" xfId="0" applyNumberFormat="1" applyFont="1" applyFill="1"/>
    <xf numFmtId="0" fontId="0" fillId="0" borderId="56" xfId="0" applyBorder="1"/>
    <xf numFmtId="165" fontId="3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4" fontId="3" fillId="6" borderId="1" xfId="0" applyNumberFormat="1" applyFont="1" applyFill="1" applyBorder="1" applyAlignment="1">
      <alignment horizontal="right"/>
    </xf>
    <xf numFmtId="164" fontId="3" fillId="3" borderId="1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4" fontId="0" fillId="3" borderId="37" xfId="0" applyNumberFormat="1" applyFill="1" applyBorder="1" applyAlignment="1">
      <alignment horizontal="center"/>
    </xf>
    <xf numFmtId="49" fontId="0" fillId="7" borderId="5" xfId="0" applyNumberFormat="1" applyFill="1" applyBorder="1" applyAlignment="1">
      <alignment horizontal="center" vertical="top" wrapText="1"/>
    </xf>
    <xf numFmtId="0" fontId="0" fillId="7" borderId="8" xfId="0" applyFill="1" applyBorder="1" applyAlignment="1">
      <alignment horizontal="center" vertical="top" wrapText="1"/>
    </xf>
    <xf numFmtId="0" fontId="3" fillId="6" borderId="5" xfId="0" applyFont="1" applyFill="1" applyBorder="1" applyAlignment="1">
      <alignment horizontal="center" vertical="top" wrapText="1"/>
    </xf>
    <xf numFmtId="49" fontId="3" fillId="6" borderId="11" xfId="0" applyNumberFormat="1" applyFont="1" applyFill="1" applyBorder="1" applyAlignment="1">
      <alignment horizontal="center" vertical="top" wrapText="1"/>
    </xf>
    <xf numFmtId="0" fontId="3" fillId="6" borderId="1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3" fillId="6" borderId="1" xfId="0" applyFont="1" applyFill="1" applyBorder="1" applyAlignment="1">
      <alignment vertical="top" wrapText="1"/>
    </xf>
    <xf numFmtId="0" fontId="3" fillId="6" borderId="1" xfId="0" applyFont="1" applyFill="1" applyBorder="1" applyAlignment="1">
      <alignment horizontal="center" vertical="top"/>
    </xf>
    <xf numFmtId="49" fontId="3" fillId="6" borderId="1" xfId="0" applyNumberFormat="1" applyFont="1" applyFill="1" applyBorder="1" applyAlignment="1">
      <alignment horizontal="center" vertical="top" wrapText="1"/>
    </xf>
    <xf numFmtId="49" fontId="3" fillId="6" borderId="1" xfId="0" applyNumberFormat="1" applyFont="1" applyFill="1" applyBorder="1" applyAlignment="1">
      <alignment horizontal="center" vertical="top"/>
    </xf>
    <xf numFmtId="0" fontId="3" fillId="6" borderId="29" xfId="0" applyFont="1" applyFill="1" applyBorder="1" applyAlignment="1">
      <alignment horizontal="center" vertical="top" wrapText="1"/>
    </xf>
    <xf numFmtId="0" fontId="0" fillId="7" borderId="2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 wrapText="1"/>
    </xf>
    <xf numFmtId="49" fontId="0" fillId="7" borderId="11" xfId="0" applyNumberFormat="1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4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44" fontId="0" fillId="0" borderId="29" xfId="0" applyNumberFormat="1" applyBorder="1" applyAlignment="1">
      <alignment horizontal="center"/>
    </xf>
    <xf numFmtId="44" fontId="3" fillId="0" borderId="29" xfId="0" applyNumberFormat="1" applyFont="1" applyBorder="1" applyAlignment="1">
      <alignment horizontal="right" vertical="center"/>
    </xf>
    <xf numFmtId="44" fontId="0" fillId="0" borderId="37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 vertical="top"/>
    </xf>
    <xf numFmtId="44" fontId="0" fillId="8" borderId="1" xfId="0" applyNumberFormat="1" applyFill="1" applyBorder="1" applyAlignment="1">
      <alignment horizontal="left"/>
    </xf>
    <xf numFmtId="14" fontId="3" fillId="3" borderId="1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center" wrapText="1"/>
    </xf>
    <xf numFmtId="44" fontId="4" fillId="2" borderId="14" xfId="0" applyNumberFormat="1" applyFont="1" applyFill="1" applyBorder="1" applyAlignment="1">
      <alignment horizontal="right"/>
    </xf>
    <xf numFmtId="49" fontId="0" fillId="10" borderId="12" xfId="0" applyNumberFormat="1" applyFill="1" applyBorder="1" applyAlignment="1">
      <alignment horizontal="center"/>
    </xf>
    <xf numFmtId="49" fontId="0" fillId="10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44" fontId="3" fillId="11" borderId="1" xfId="0" applyNumberFormat="1" applyFont="1" applyFill="1" applyBorder="1" applyAlignment="1">
      <alignment horizontal="left"/>
    </xf>
    <xf numFmtId="14" fontId="3" fillId="11" borderId="37" xfId="0" applyNumberFormat="1" applyFont="1" applyFill="1" applyBorder="1" applyAlignment="1">
      <alignment horizontal="center"/>
    </xf>
    <xf numFmtId="14" fontId="3" fillId="11" borderId="1" xfId="0" applyNumberFormat="1" applyFont="1" applyFill="1" applyBorder="1" applyAlignment="1">
      <alignment horizontal="center"/>
    </xf>
    <xf numFmtId="1" fontId="3" fillId="11" borderId="1" xfId="0" applyNumberFormat="1" applyFont="1" applyFill="1" applyBorder="1" applyAlignment="1">
      <alignment horizontal="center"/>
    </xf>
    <xf numFmtId="44" fontId="3" fillId="11" borderId="29" xfId="0" applyNumberFormat="1" applyFont="1" applyFill="1" applyBorder="1" applyAlignment="1">
      <alignment horizontal="right" vertical="top"/>
    </xf>
    <xf numFmtId="49" fontId="0" fillId="0" borderId="11" xfId="0" applyNumberFormat="1" applyBorder="1" applyAlignment="1">
      <alignment horizontal="center" vertical="top"/>
    </xf>
    <xf numFmtId="1" fontId="0" fillId="0" borderId="11" xfId="0" applyNumberFormat="1" applyBorder="1" applyAlignment="1">
      <alignment horizontal="center" vertical="top"/>
    </xf>
    <xf numFmtId="14" fontId="3" fillId="2" borderId="24" xfId="0" applyNumberFormat="1" applyFont="1" applyFill="1" applyBorder="1" applyAlignment="1">
      <alignment horizontal="center"/>
    </xf>
    <xf numFmtId="44" fontId="3" fillId="11" borderId="1" xfId="0" applyNumberFormat="1" applyFont="1" applyFill="1" applyBorder="1" applyAlignment="1">
      <alignment horizontal="center"/>
    </xf>
    <xf numFmtId="37" fontId="0" fillId="10" borderId="0" xfId="0" applyNumberFormat="1" applyFill="1" applyAlignment="1">
      <alignment horizontal="center"/>
    </xf>
    <xf numFmtId="44" fontId="0" fillId="10" borderId="0" xfId="0" applyNumberFormat="1" applyFill="1" applyAlignment="1">
      <alignment horizontal="center"/>
    </xf>
    <xf numFmtId="43" fontId="0" fillId="10" borderId="0" xfId="0" applyNumberFormat="1" applyFill="1"/>
    <xf numFmtId="14" fontId="3" fillId="8" borderId="37" xfId="0" applyNumberFormat="1" applyFont="1" applyFill="1" applyBorder="1" applyAlignment="1">
      <alignment horizontal="center"/>
    </xf>
    <xf numFmtId="14" fontId="0" fillId="8" borderId="3" xfId="0" applyNumberForma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49" fontId="0" fillId="0" borderId="17" xfId="0" applyNumberFormat="1" applyBorder="1" applyAlignment="1">
      <alignment horizontal="center" vertical="top"/>
    </xf>
    <xf numFmtId="14" fontId="0" fillId="0" borderId="18" xfId="0" applyNumberFormat="1" applyBorder="1" applyAlignment="1">
      <alignment horizontal="center" vertical="top"/>
    </xf>
    <xf numFmtId="1" fontId="3" fillId="0" borderId="3" xfId="0" applyNumberFormat="1" applyFont="1" applyBorder="1" applyAlignment="1">
      <alignment horizontal="center"/>
    </xf>
    <xf numFmtId="44" fontId="3" fillId="0" borderId="3" xfId="0" applyNumberFormat="1" applyFont="1" applyBorder="1" applyAlignment="1">
      <alignment horizontal="center"/>
    </xf>
    <xf numFmtId="44" fontId="3" fillId="0" borderId="3" xfId="0" quotePrefix="1" applyNumberFormat="1" applyFont="1" applyBorder="1" applyAlignment="1">
      <alignment horizontal="center" vertical="top"/>
    </xf>
    <xf numFmtId="44" fontId="3" fillId="0" borderId="33" xfId="0" applyNumberFormat="1" applyFont="1" applyBorder="1" applyAlignment="1">
      <alignment horizontal="right" vertical="top"/>
    </xf>
    <xf numFmtId="2" fontId="3" fillId="0" borderId="1" xfId="0" applyNumberFormat="1" applyFont="1" applyBorder="1" applyAlignment="1">
      <alignment horizontal="left"/>
    </xf>
    <xf numFmtId="14" fontId="3" fillId="13" borderId="1" xfId="0" applyNumberFormat="1" applyFont="1" applyFill="1" applyBorder="1" applyAlignment="1">
      <alignment horizontal="center"/>
    </xf>
    <xf numFmtId="1" fontId="3" fillId="13" borderId="1" xfId="0" applyNumberFormat="1" applyFont="1" applyFill="1" applyBorder="1" applyAlignment="1">
      <alignment horizontal="center"/>
    </xf>
    <xf numFmtId="49" fontId="0" fillId="3" borderId="12" xfId="0" applyNumberFormat="1" applyFill="1" applyBorder="1" applyAlignment="1">
      <alignment horizontal="center" vertical="top"/>
    </xf>
    <xf numFmtId="164" fontId="0" fillId="2" borderId="1" xfId="0" applyNumberFormat="1" applyFill="1" applyBorder="1" applyAlignment="1">
      <alignment horizontal="center"/>
    </xf>
    <xf numFmtId="44" fontId="3" fillId="14" borderId="1" xfId="0" applyNumberFormat="1" applyFont="1" applyFill="1" applyBorder="1" applyAlignment="1">
      <alignment horizontal="center"/>
    </xf>
    <xf numFmtId="44" fontId="3" fillId="14" borderId="29" xfId="0" applyNumberFormat="1" applyFont="1" applyFill="1" applyBorder="1" applyAlignment="1">
      <alignment horizontal="right" vertical="top"/>
    </xf>
    <xf numFmtId="49" fontId="9" fillId="0" borderId="0" xfId="1" applyNumberFormat="1" applyAlignment="1">
      <alignment horizontal="center"/>
    </xf>
    <xf numFmtId="49" fontId="9" fillId="0" borderId="46" xfId="1" applyNumberFormat="1" applyBorder="1" applyAlignment="1">
      <alignment horizontal="center"/>
    </xf>
    <xf numFmtId="2" fontId="0" fillId="0" borderId="1" xfId="0" applyNumberFormat="1" applyBorder="1" applyAlignment="1">
      <alignment horizontal="left"/>
    </xf>
    <xf numFmtId="14" fontId="3" fillId="2" borderId="1" xfId="0" applyNumberFormat="1" applyFont="1" applyFill="1" applyBorder="1" applyAlignment="1">
      <alignment horizontal="center"/>
    </xf>
    <xf numFmtId="44" fontId="0" fillId="2" borderId="0" xfId="0" applyNumberFormat="1" applyFill="1" applyAlignment="1">
      <alignment horizontal="center"/>
    </xf>
    <xf numFmtId="164" fontId="0" fillId="2" borderId="11" xfId="0" applyNumberFormat="1" applyFill="1" applyBorder="1" applyAlignment="1">
      <alignment horizontal="center" vertical="top"/>
    </xf>
    <xf numFmtId="14" fontId="6" fillId="2" borderId="27" xfId="0" applyNumberFormat="1" applyFont="1" applyFill="1" applyBorder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1" fontId="0" fillId="0" borderId="3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5" borderId="22" xfId="0" applyNumberFormat="1" applyFill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" fontId="0" fillId="7" borderId="5" xfId="0" applyNumberFormat="1" applyFill="1" applyBorder="1" applyAlignment="1">
      <alignment horizontal="center" vertical="top" wrapText="1"/>
    </xf>
    <xf numFmtId="1" fontId="0" fillId="0" borderId="0" xfId="0" applyNumberFormat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" fontId="0" fillId="7" borderId="8" xfId="0" applyNumberFormat="1" applyFill="1" applyBorder="1" applyAlignment="1">
      <alignment horizontal="center" vertical="top" wrapText="1"/>
    </xf>
    <xf numFmtId="1" fontId="0" fillId="0" borderId="11" xfId="0" quotePrefix="1" applyNumberFormat="1" applyBorder="1" applyAlignment="1">
      <alignment horizontal="center" vertical="top"/>
    </xf>
    <xf numFmtId="1" fontId="0" fillId="7" borderId="18" xfId="0" quotePrefix="1" applyNumberFormat="1" applyFill="1" applyBorder="1" applyAlignment="1">
      <alignment horizontal="center" vertical="top"/>
    </xf>
    <xf numFmtId="1" fontId="0" fillId="7" borderId="18" xfId="0" applyNumberFormat="1" applyFill="1" applyBorder="1" applyAlignment="1">
      <alignment horizontal="center" vertical="top" wrapText="1"/>
    </xf>
    <xf numFmtId="1" fontId="0" fillId="7" borderId="11" xfId="0" applyNumberFormat="1" applyFill="1" applyBorder="1" applyAlignment="1">
      <alignment horizontal="center" vertical="top" wrapText="1"/>
    </xf>
    <xf numFmtId="1" fontId="0" fillId="0" borderId="1" xfId="0" quotePrefix="1" applyNumberFormat="1" applyBorder="1" applyAlignment="1">
      <alignment horizontal="center" vertical="top"/>
    </xf>
    <xf numFmtId="1" fontId="3" fillId="0" borderId="11" xfId="0" quotePrefix="1" applyNumberFormat="1" applyFont="1" applyBorder="1" applyAlignment="1">
      <alignment horizontal="center" vertical="top"/>
    </xf>
    <xf numFmtId="39" fontId="0" fillId="0" borderId="0" xfId="0" applyNumberFormat="1" applyAlignment="1">
      <alignment horizontal="center"/>
    </xf>
    <xf numFmtId="39" fontId="0" fillId="7" borderId="18" xfId="0" applyNumberFormat="1" applyFill="1" applyBorder="1" applyAlignment="1">
      <alignment horizontal="center" vertical="top" wrapText="1"/>
    </xf>
    <xf numFmtId="39" fontId="0" fillId="7" borderId="11" xfId="0" applyNumberFormat="1" applyFill="1" applyBorder="1" applyAlignment="1">
      <alignment horizontal="center" vertical="top" wrapText="1"/>
    </xf>
    <xf numFmtId="39" fontId="0" fillId="0" borderId="1" xfId="0" applyNumberFormat="1" applyBorder="1" applyAlignment="1">
      <alignment horizontal="center"/>
    </xf>
    <xf numFmtId="39" fontId="3" fillId="0" borderId="1" xfId="0" applyNumberFormat="1" applyFont="1" applyBorder="1" applyAlignment="1">
      <alignment horizontal="center"/>
    </xf>
    <xf numFmtId="39" fontId="0" fillId="0" borderId="31" xfId="0" applyNumberFormat="1" applyBorder="1" applyAlignment="1">
      <alignment horizontal="center"/>
    </xf>
    <xf numFmtId="39" fontId="0" fillId="5" borderId="22" xfId="0" applyNumberFormat="1" applyFill="1" applyBorder="1" applyAlignment="1">
      <alignment horizontal="center"/>
    </xf>
    <xf numFmtId="39" fontId="3" fillId="9" borderId="1" xfId="0" applyNumberFormat="1" applyFont="1" applyFill="1" applyBorder="1" applyAlignment="1">
      <alignment horizontal="center"/>
    </xf>
    <xf numFmtId="39" fontId="0" fillId="0" borderId="0" xfId="0" applyNumberFormat="1" applyAlignment="1">
      <alignment horizontal="center" vertical="center"/>
    </xf>
    <xf numFmtId="39" fontId="3" fillId="0" borderId="11" xfId="0" quotePrefix="1" applyNumberFormat="1" applyFont="1" applyBorder="1" applyAlignment="1">
      <alignment horizontal="center" vertical="top"/>
    </xf>
    <xf numFmtId="39" fontId="3" fillId="0" borderId="31" xfId="0" applyNumberFormat="1" applyFont="1" applyBorder="1" applyAlignment="1">
      <alignment horizontal="center"/>
    </xf>
    <xf numFmtId="39" fontId="0" fillId="0" borderId="3" xfId="0" applyNumberFormat="1" applyBorder="1" applyAlignment="1">
      <alignment horizontal="center"/>
    </xf>
    <xf numFmtId="39" fontId="0" fillId="0" borderId="8" xfId="0" applyNumberFormat="1" applyBorder="1" applyAlignment="1">
      <alignment horizontal="center"/>
    </xf>
    <xf numFmtId="39" fontId="3" fillId="0" borderId="3" xfId="0" applyNumberFormat="1" applyFont="1" applyBorder="1" applyAlignment="1">
      <alignment horizontal="center"/>
    </xf>
    <xf numFmtId="39" fontId="0" fillId="0" borderId="11" xfId="0" quotePrefix="1" applyNumberFormat="1" applyBorder="1" applyAlignment="1">
      <alignment horizontal="center" vertical="top"/>
    </xf>
    <xf numFmtId="39" fontId="0" fillId="7" borderId="5" xfId="0" applyNumberFormat="1" applyFill="1" applyBorder="1" applyAlignment="1">
      <alignment horizontal="center" vertical="top" wrapText="1"/>
    </xf>
    <xf numFmtId="39" fontId="0" fillId="7" borderId="8" xfId="0" applyNumberFormat="1" applyFill="1" applyBorder="1" applyAlignment="1">
      <alignment horizontal="center" vertical="top" wrapText="1"/>
    </xf>
    <xf numFmtId="39" fontId="0" fillId="7" borderId="18" xfId="0" quotePrefix="1" applyNumberFormat="1" applyFill="1" applyBorder="1" applyAlignment="1">
      <alignment horizontal="center" vertical="top"/>
    </xf>
    <xf numFmtId="14" fontId="3" fillId="0" borderId="1" xfId="0" applyNumberFormat="1" applyFont="1" applyBorder="1" applyAlignment="1">
      <alignment horizontal="left"/>
    </xf>
    <xf numFmtId="44" fontId="0" fillId="5" borderId="22" xfId="0" applyNumberFormat="1" applyFill="1" applyBorder="1" applyAlignment="1">
      <alignment horizontal="center"/>
    </xf>
    <xf numFmtId="44" fontId="3" fillId="9" borderId="1" xfId="0" applyNumberFormat="1" applyFont="1" applyFill="1" applyBorder="1" applyAlignment="1">
      <alignment horizontal="center"/>
    </xf>
    <xf numFmtId="44" fontId="0" fillId="7" borderId="18" xfId="0" applyNumberFormat="1" applyFill="1" applyBorder="1" applyAlignment="1">
      <alignment horizontal="center" vertical="top" wrapText="1"/>
    </xf>
    <xf numFmtId="44" fontId="0" fillId="7" borderId="11" xfId="0" applyNumberFormat="1" applyFill="1" applyBorder="1" applyAlignment="1">
      <alignment horizontal="center" vertical="top" wrapText="1"/>
    </xf>
    <xf numFmtId="44" fontId="3" fillId="0" borderId="11" xfId="0" quotePrefix="1" applyNumberFormat="1" applyFont="1" applyBorder="1" applyAlignment="1">
      <alignment horizontal="center" vertical="top"/>
    </xf>
    <xf numFmtId="44" fontId="0" fillId="0" borderId="8" xfId="0" applyNumberFormat="1" applyBorder="1" applyAlignment="1">
      <alignment horizontal="center"/>
    </xf>
    <xf numFmtId="44" fontId="0" fillId="0" borderId="11" xfId="0" quotePrefix="1" applyNumberFormat="1" applyBorder="1" applyAlignment="1">
      <alignment horizontal="center" vertical="top"/>
    </xf>
    <xf numFmtId="44" fontId="0" fillId="7" borderId="5" xfId="0" applyNumberFormat="1" applyFill="1" applyBorder="1" applyAlignment="1">
      <alignment horizontal="center" vertical="top" wrapText="1"/>
    </xf>
    <xf numFmtId="44" fontId="0" fillId="7" borderId="8" xfId="0" applyNumberFormat="1" applyFill="1" applyBorder="1" applyAlignment="1">
      <alignment horizontal="center" vertical="top" wrapText="1"/>
    </xf>
    <xf numFmtId="44" fontId="0" fillId="7" borderId="18" xfId="0" quotePrefix="1" applyNumberFormat="1" applyFill="1" applyBorder="1" applyAlignment="1">
      <alignment horizontal="center" vertical="top"/>
    </xf>
    <xf numFmtId="49" fontId="0" fillId="8" borderId="2" xfId="0" applyNumberFormat="1" applyFill="1" applyBorder="1" applyAlignment="1">
      <alignment horizontal="center"/>
    </xf>
    <xf numFmtId="49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14" fontId="0" fillId="8" borderId="18" xfId="0" applyNumberFormat="1" applyFill="1" applyBorder="1" applyAlignment="1">
      <alignment horizontal="center" vertical="top"/>
    </xf>
    <xf numFmtId="49" fontId="0" fillId="8" borderId="11" xfId="0" applyNumberFormat="1" applyFill="1" applyBorder="1" applyAlignment="1">
      <alignment horizontal="center" vertical="top"/>
    </xf>
    <xf numFmtId="1" fontId="0" fillId="8" borderId="11" xfId="0" applyNumberFormat="1" applyFill="1" applyBorder="1" applyAlignment="1">
      <alignment horizontal="center" vertical="top"/>
    </xf>
    <xf numFmtId="164" fontId="0" fillId="8" borderId="3" xfId="0" applyNumberFormat="1" applyFill="1" applyBorder="1" applyAlignment="1">
      <alignment horizontal="center"/>
    </xf>
    <xf numFmtId="44" fontId="0" fillId="8" borderId="11" xfId="0" quotePrefix="1" applyNumberFormat="1" applyFill="1" applyBorder="1" applyAlignment="1">
      <alignment horizontal="left" vertical="top"/>
    </xf>
    <xf numFmtId="1" fontId="0" fillId="8" borderId="18" xfId="0" quotePrefix="1" applyNumberFormat="1" applyFill="1" applyBorder="1" applyAlignment="1">
      <alignment horizontal="center" vertical="top"/>
    </xf>
    <xf numFmtId="44" fontId="0" fillId="8" borderId="18" xfId="0" quotePrefix="1" applyNumberFormat="1" applyFill="1" applyBorder="1" applyAlignment="1">
      <alignment horizontal="center" vertical="top"/>
    </xf>
    <xf numFmtId="39" fontId="0" fillId="8" borderId="18" xfId="0" quotePrefix="1" applyNumberFormat="1" applyFill="1" applyBorder="1" applyAlignment="1">
      <alignment horizontal="center" vertical="top"/>
    </xf>
    <xf numFmtId="43" fontId="3" fillId="0" borderId="0" xfId="0" applyNumberFormat="1" applyFont="1" applyAlignment="1">
      <alignment horizontal="left" vertical="top"/>
    </xf>
    <xf numFmtId="14" fontId="0" fillId="3" borderId="11" xfId="0" applyNumberFormat="1" applyFill="1" applyBorder="1" applyAlignment="1">
      <alignment horizontal="center" vertical="top"/>
    </xf>
    <xf numFmtId="44" fontId="3" fillId="13" borderId="29" xfId="0" applyNumberFormat="1" applyFont="1" applyFill="1" applyBorder="1" applyAlignment="1">
      <alignment horizontal="right" vertical="top"/>
    </xf>
    <xf numFmtId="164" fontId="8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44" fontId="0" fillId="12" borderId="0" xfId="0" applyNumberFormat="1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39" fontId="3" fillId="9" borderId="1" xfId="0" quotePrefix="1" applyNumberFormat="1" applyFont="1" applyFill="1" applyBorder="1" applyAlignment="1">
      <alignment horizontal="center" vertical="top"/>
    </xf>
    <xf numFmtId="1" fontId="3" fillId="9" borderId="1" xfId="0" quotePrefix="1" applyNumberFormat="1" applyFont="1" applyFill="1" applyBorder="1" applyAlignment="1">
      <alignment horizontal="center" vertical="top"/>
    </xf>
    <xf numFmtId="43" fontId="3" fillId="2" borderId="0" xfId="0" applyNumberFormat="1" applyFont="1" applyFill="1" applyAlignment="1">
      <alignment horizontal="left"/>
    </xf>
    <xf numFmtId="43" fontId="0" fillId="2" borderId="0" xfId="0" applyNumberFormat="1" applyFill="1" applyAlignment="1">
      <alignment horizontal="right"/>
    </xf>
    <xf numFmtId="4" fontId="3" fillId="0" borderId="1" xfId="0" applyNumberFormat="1" applyFont="1" applyBorder="1" applyAlignment="1">
      <alignment horizontal="center"/>
    </xf>
    <xf numFmtId="4" fontId="3" fillId="0" borderId="31" xfId="0" applyNumberFormat="1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1" fontId="0" fillId="0" borderId="0" xfId="0" applyNumberFormat="1"/>
    <xf numFmtId="1" fontId="0" fillId="0" borderId="0" xfId="0" applyNumberFormat="1" applyAlignment="1">
      <alignment vertical="center"/>
    </xf>
    <xf numFmtId="1" fontId="0" fillId="0" borderId="0" xfId="0" applyNumberFormat="1" applyAlignment="1">
      <alignment horizontal="right"/>
    </xf>
    <xf numFmtId="1" fontId="0" fillId="0" borderId="0" xfId="0" applyNumberFormat="1" applyAlignment="1">
      <alignment horizontal="center" vertical="top" wrapText="1"/>
    </xf>
    <xf numFmtId="1" fontId="0" fillId="0" borderId="0" xfId="0" applyNumberFormat="1" applyAlignment="1">
      <alignment horizontal="right" vertical="top"/>
    </xf>
    <xf numFmtId="43" fontId="7" fillId="9" borderId="14" xfId="0" applyNumberFormat="1" applyFont="1" applyFill="1" applyBorder="1" applyAlignment="1">
      <alignment horizontal="right" vertical="center"/>
    </xf>
    <xf numFmtId="0" fontId="3" fillId="9" borderId="21" xfId="0" applyFont="1" applyFill="1" applyBorder="1" applyAlignment="1">
      <alignment horizontal="left"/>
    </xf>
    <xf numFmtId="0" fontId="3" fillId="9" borderId="22" xfId="0" applyFont="1" applyFill="1" applyBorder="1" applyAlignment="1">
      <alignment horizontal="center"/>
    </xf>
    <xf numFmtId="44" fontId="3" fillId="9" borderId="24" xfId="0" applyNumberFormat="1" applyFont="1" applyFill="1" applyBorder="1" applyAlignment="1">
      <alignment horizontal="right"/>
    </xf>
    <xf numFmtId="0" fontId="3" fillId="9" borderId="30" xfId="0" applyFont="1" applyFill="1" applyBorder="1" applyAlignment="1">
      <alignment horizontal="left" vertical="center"/>
    </xf>
    <xf numFmtId="49" fontId="3" fillId="6" borderId="63" xfId="0" applyNumberFormat="1" applyFont="1" applyFill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0" fontId="0" fillId="0" borderId="39" xfId="0" applyBorder="1"/>
    <xf numFmtId="0" fontId="3" fillId="9" borderId="2" xfId="0" applyFont="1" applyFill="1" applyBorder="1" applyAlignment="1">
      <alignment horizontal="left"/>
    </xf>
    <xf numFmtId="0" fontId="3" fillId="9" borderId="1" xfId="0" applyFont="1" applyFill="1" applyBorder="1" applyAlignment="1">
      <alignment horizontal="right"/>
    </xf>
    <xf numFmtId="43" fontId="3" fillId="9" borderId="33" xfId="0" applyNumberFormat="1" applyFont="1" applyFill="1" applyBorder="1" applyAlignment="1">
      <alignment horizontal="right"/>
    </xf>
    <xf numFmtId="0" fontId="3" fillId="4" borderId="1" xfId="0" applyFont="1" applyFill="1" applyBorder="1" applyAlignment="1">
      <alignment horizontal="center"/>
    </xf>
    <xf numFmtId="44" fontId="3" fillId="4" borderId="29" xfId="0" applyNumberFormat="1" applyFont="1" applyFill="1" applyBorder="1" applyAlignment="1">
      <alignment horizontal="right"/>
    </xf>
    <xf numFmtId="0" fontId="3" fillId="4" borderId="3" xfId="0" applyFont="1" applyFill="1" applyBorder="1" applyAlignment="1">
      <alignment horizontal="center"/>
    </xf>
    <xf numFmtId="44" fontId="3" fillId="4" borderId="33" xfId="0" applyNumberFormat="1" applyFont="1" applyFill="1" applyBorder="1" applyAlignment="1">
      <alignment horizontal="right"/>
    </xf>
    <xf numFmtId="49" fontId="0" fillId="8" borderId="10" xfId="0" applyNumberFormat="1" applyFill="1" applyBorder="1" applyAlignment="1">
      <alignment horizontal="center" vertical="top"/>
    </xf>
    <xf numFmtId="0" fontId="0" fillId="8" borderId="0" xfId="0" applyFill="1" applyAlignment="1">
      <alignment horizontal="center"/>
    </xf>
    <xf numFmtId="14" fontId="0" fillId="8" borderId="11" xfId="0" applyNumberFormat="1" applyFill="1" applyBorder="1" applyAlignment="1">
      <alignment horizontal="center" vertical="top"/>
    </xf>
    <xf numFmtId="164" fontId="0" fillId="8" borderId="11" xfId="0" applyNumberFormat="1" applyFill="1" applyBorder="1" applyAlignment="1">
      <alignment horizontal="center" vertical="top"/>
    </xf>
    <xf numFmtId="1" fontId="0" fillId="8" borderId="11" xfId="0" quotePrefix="1" applyNumberFormat="1" applyFill="1" applyBorder="1" applyAlignment="1">
      <alignment horizontal="center" vertical="top"/>
    </xf>
    <xf numFmtId="44" fontId="0" fillId="8" borderId="11" xfId="0" quotePrefix="1" applyNumberFormat="1" applyFill="1" applyBorder="1" applyAlignment="1">
      <alignment horizontal="center" vertical="top"/>
    </xf>
    <xf numFmtId="39" fontId="0" fillId="8" borderId="11" xfId="0" quotePrefix="1" applyNumberFormat="1" applyFill="1" applyBorder="1" applyAlignment="1">
      <alignment horizontal="center" vertical="top"/>
    </xf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44" fontId="0" fillId="3" borderId="0" xfId="0" applyNumberFormat="1" applyFill="1" applyAlignment="1">
      <alignment horizontal="center" vertical="center"/>
    </xf>
    <xf numFmtId="14" fontId="3" fillId="6" borderId="47" xfId="0" applyNumberFormat="1" applyFont="1" applyFill="1" applyBorder="1" applyAlignment="1">
      <alignment horizontal="center"/>
    </xf>
    <xf numFmtId="14" fontId="3" fillId="6" borderId="48" xfId="0" applyNumberFormat="1" applyFont="1" applyFill="1" applyBorder="1" applyAlignment="1">
      <alignment horizontal="center"/>
    </xf>
    <xf numFmtId="14" fontId="3" fillId="6" borderId="67" xfId="0" applyNumberFormat="1" applyFont="1" applyFill="1" applyBorder="1" applyAlignment="1">
      <alignment horizontal="center"/>
    </xf>
    <xf numFmtId="14" fontId="3" fillId="6" borderId="68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166" fontId="3" fillId="4" borderId="1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vertical="top" wrapText="1"/>
    </xf>
    <xf numFmtId="49" fontId="3" fillId="3" borderId="1" xfId="0" applyNumberFormat="1" applyFont="1" applyFill="1" applyBorder="1" applyAlignment="1">
      <alignment horizontal="center" vertical="top" wrapText="1"/>
    </xf>
    <xf numFmtId="164" fontId="3" fillId="3" borderId="1" xfId="0" applyNumberFormat="1" applyFont="1" applyFill="1" applyBorder="1" applyAlignment="1">
      <alignment horizontal="center" vertical="top" wrapText="1"/>
    </xf>
    <xf numFmtId="49" fontId="3" fillId="7" borderId="2" xfId="0" applyNumberFormat="1" applyFont="1" applyFill="1" applyBorder="1" applyAlignment="1">
      <alignment horizontal="center" vertical="top"/>
    </xf>
    <xf numFmtId="49" fontId="3" fillId="7" borderId="1" xfId="0" applyNumberFormat="1" applyFont="1" applyFill="1" applyBorder="1" applyAlignment="1">
      <alignment horizontal="center" vertical="top"/>
    </xf>
    <xf numFmtId="2" fontId="3" fillId="7" borderId="1" xfId="0" applyNumberFormat="1" applyFont="1" applyFill="1" applyBorder="1" applyAlignment="1">
      <alignment horizontal="center" vertical="top"/>
    </xf>
    <xf numFmtId="14" fontId="3" fillId="7" borderId="1" xfId="0" applyNumberFormat="1" applyFont="1" applyFill="1" applyBorder="1" applyAlignment="1">
      <alignment horizontal="center"/>
    </xf>
    <xf numFmtId="1" fontId="3" fillId="7" borderId="1" xfId="0" applyNumberFormat="1" applyFont="1" applyFill="1" applyBorder="1" applyAlignment="1">
      <alignment horizontal="center" vertical="top"/>
    </xf>
    <xf numFmtId="166" fontId="3" fillId="7" borderId="1" xfId="0" applyNumberFormat="1" applyFont="1" applyFill="1" applyBorder="1" applyAlignment="1">
      <alignment horizontal="center" vertical="top"/>
    </xf>
    <xf numFmtId="14" fontId="3" fillId="0" borderId="1" xfId="0" applyNumberFormat="1" applyFont="1" applyBorder="1" applyAlignment="1">
      <alignment horizontal="right"/>
    </xf>
    <xf numFmtId="49" fontId="3" fillId="7" borderId="1" xfId="0" applyNumberFormat="1" applyFont="1" applyFill="1" applyBorder="1" applyAlignment="1">
      <alignment horizontal="center"/>
    </xf>
    <xf numFmtId="2" fontId="3" fillId="7" borderId="1" xfId="0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" fontId="3" fillId="7" borderId="1" xfId="0" applyNumberFormat="1" applyFont="1" applyFill="1" applyBorder="1" applyAlignment="1">
      <alignment horizontal="center"/>
    </xf>
    <xf numFmtId="166" fontId="3" fillId="7" borderId="1" xfId="0" applyNumberFormat="1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 vertical="top"/>
    </xf>
    <xf numFmtId="49" fontId="3" fillId="3" borderId="1" xfId="0" applyNumberFormat="1" applyFont="1" applyFill="1" applyBorder="1" applyAlignment="1">
      <alignment horizontal="center"/>
    </xf>
    <xf numFmtId="2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/>
    </xf>
    <xf numFmtId="166" fontId="3" fillId="3" borderId="1" xfId="0" applyNumberFormat="1" applyFont="1" applyFill="1" applyBorder="1" applyAlignment="1">
      <alignment horizontal="center"/>
    </xf>
    <xf numFmtId="44" fontId="3" fillId="0" borderId="2" xfId="0" applyNumberFormat="1" applyFont="1" applyBorder="1" applyAlignment="1">
      <alignment horizontal="right"/>
    </xf>
    <xf numFmtId="49" fontId="3" fillId="3" borderId="2" xfId="0" applyNumberFormat="1" applyFont="1" applyFill="1" applyBorder="1" applyAlignment="1">
      <alignment horizontal="center"/>
    </xf>
    <xf numFmtId="49" fontId="3" fillId="7" borderId="2" xfId="0" applyNumberFormat="1" applyFont="1" applyFill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44" fontId="3" fillId="0" borderId="30" xfId="0" applyNumberFormat="1" applyFont="1" applyBorder="1" applyAlignment="1">
      <alignment horizontal="right"/>
    </xf>
    <xf numFmtId="0" fontId="3" fillId="0" borderId="42" xfId="0" applyFont="1" applyBorder="1" applyAlignment="1">
      <alignment horizontal="center"/>
    </xf>
    <xf numFmtId="0" fontId="3" fillId="0" borderId="39" xfId="0" applyFont="1" applyBorder="1"/>
    <xf numFmtId="0" fontId="3" fillId="9" borderId="31" xfId="0" applyFont="1" applyFill="1" applyBorder="1" applyAlignment="1">
      <alignment horizontal="center" vertical="center"/>
    </xf>
    <xf numFmtId="44" fontId="3" fillId="0" borderId="1" xfId="0" quotePrefix="1" applyNumberFormat="1" applyFont="1" applyBorder="1" applyAlignment="1">
      <alignment horizontal="left" vertical="top"/>
    </xf>
    <xf numFmtId="0" fontId="3" fillId="0" borderId="29" xfId="0" applyFont="1" applyBorder="1" applyAlignment="1">
      <alignment horizontal="center"/>
    </xf>
    <xf numFmtId="49" fontId="3" fillId="0" borderId="1" xfId="0" quotePrefix="1" applyNumberFormat="1" applyFont="1" applyBorder="1" applyAlignment="1">
      <alignment horizontal="center" vertical="top"/>
    </xf>
    <xf numFmtId="49" fontId="3" fillId="0" borderId="46" xfId="0" applyNumberFormat="1" applyFont="1" applyBorder="1" applyAlignment="1">
      <alignment horizontal="center"/>
    </xf>
    <xf numFmtId="0" fontId="3" fillId="0" borderId="3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4" fontId="3" fillId="6" borderId="0" xfId="0" applyNumberFormat="1" applyFont="1" applyFill="1" applyAlignment="1">
      <alignment horizontal="center"/>
    </xf>
    <xf numFmtId="0" fontId="3" fillId="0" borderId="0" xfId="0" applyFont="1" applyAlignment="1">
      <alignment horizontal="left"/>
    </xf>
    <xf numFmtId="43" fontId="3" fillId="0" borderId="0" xfId="0" applyNumberFormat="1" applyFont="1"/>
    <xf numFmtId="1" fontId="3" fillId="0" borderId="0" xfId="0" applyNumberFormat="1" applyFont="1"/>
    <xf numFmtId="0" fontId="3" fillId="0" borderId="0" xfId="0" applyFont="1" applyAlignment="1">
      <alignment vertical="center"/>
    </xf>
    <xf numFmtId="1" fontId="3" fillId="0" borderId="0" xfId="0" applyNumberFormat="1" applyFont="1" applyAlignment="1">
      <alignment vertical="center"/>
    </xf>
    <xf numFmtId="1" fontId="3" fillId="0" borderId="39" xfId="0" applyNumberFormat="1" applyFont="1" applyBorder="1"/>
    <xf numFmtId="0" fontId="3" fillId="0" borderId="39" xfId="0" applyFont="1" applyBorder="1" applyAlignment="1">
      <alignment horizontal="left"/>
    </xf>
    <xf numFmtId="0" fontId="3" fillId="9" borderId="32" xfId="0" applyFont="1" applyFill="1" applyBorder="1" applyAlignment="1">
      <alignment horizontal="center"/>
    </xf>
    <xf numFmtId="44" fontId="0" fillId="8" borderId="1" xfId="0" applyNumberFormat="1" applyFill="1" applyBorder="1" applyAlignment="1">
      <alignment horizontal="center"/>
    </xf>
    <xf numFmtId="44" fontId="0" fillId="8" borderId="1" xfId="0" quotePrefix="1" applyNumberFormat="1" applyFill="1" applyBorder="1" applyAlignment="1">
      <alignment horizontal="center" vertical="top"/>
    </xf>
    <xf numFmtId="166" fontId="3" fillId="7" borderId="22" xfId="0" applyNumberFormat="1" applyFont="1" applyFill="1" applyBorder="1" applyAlignment="1">
      <alignment horizontal="center" vertical="top" wrapText="1"/>
    </xf>
    <xf numFmtId="0" fontId="3" fillId="6" borderId="22" xfId="0" applyFont="1" applyFill="1" applyBorder="1" applyAlignment="1">
      <alignment horizontal="center" vertical="top" wrapText="1"/>
    </xf>
    <xf numFmtId="0" fontId="3" fillId="0" borderId="22" xfId="0" applyFont="1" applyBorder="1" applyAlignment="1">
      <alignment horizontal="center" vertical="top" wrapText="1"/>
    </xf>
    <xf numFmtId="49" fontId="3" fillId="6" borderId="22" xfId="0" applyNumberFormat="1" applyFont="1" applyFill="1" applyBorder="1" applyAlignment="1">
      <alignment horizontal="center" vertical="top" wrapText="1"/>
    </xf>
    <xf numFmtId="166" fontId="3" fillId="0" borderId="1" xfId="0" applyNumberFormat="1" applyFont="1" applyBorder="1" applyAlignment="1">
      <alignment horizontal="right"/>
    </xf>
    <xf numFmtId="39" fontId="3" fillId="6" borderId="1" xfId="0" applyNumberFormat="1" applyFont="1" applyFill="1" applyBorder="1" applyAlignment="1">
      <alignment horizontal="center"/>
    </xf>
    <xf numFmtId="0" fontId="3" fillId="9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44" fontId="6" fillId="0" borderId="1" xfId="0" applyNumberFormat="1" applyFont="1" applyBorder="1" applyAlignment="1">
      <alignment horizontal="center" vertical="center"/>
    </xf>
    <xf numFmtId="43" fontId="3" fillId="9" borderId="29" xfId="0" applyNumberFormat="1" applyFont="1" applyFill="1" applyBorder="1" applyAlignment="1">
      <alignment horizontal="right"/>
    </xf>
    <xf numFmtId="0" fontId="3" fillId="9" borderId="31" xfId="0" applyFont="1" applyFill="1" applyBorder="1" applyAlignment="1">
      <alignment horizontal="left" vertical="center"/>
    </xf>
    <xf numFmtId="44" fontId="3" fillId="9" borderId="31" xfId="0" applyNumberFormat="1" applyFont="1" applyFill="1" applyBorder="1" applyAlignment="1">
      <alignment horizontal="center"/>
    </xf>
    <xf numFmtId="43" fontId="7" fillId="9" borderId="37" xfId="0" applyNumberFormat="1" applyFont="1" applyFill="1" applyBorder="1" applyAlignment="1">
      <alignment horizontal="right" vertical="center"/>
    </xf>
    <xf numFmtId="44" fontId="3" fillId="13" borderId="1" xfId="0" quotePrefix="1" applyNumberFormat="1" applyFont="1" applyFill="1" applyBorder="1" applyAlignment="1">
      <alignment horizontal="center" vertical="top"/>
    </xf>
    <xf numFmtId="49" fontId="0" fillId="0" borderId="35" xfId="0" applyNumberFormat="1" applyBorder="1" applyAlignment="1">
      <alignment horizontal="center" vertical="top"/>
    </xf>
    <xf numFmtId="49" fontId="0" fillId="0" borderId="18" xfId="0" applyNumberFormat="1" applyBorder="1" applyAlignment="1">
      <alignment horizontal="center" vertical="top"/>
    </xf>
    <xf numFmtId="2" fontId="0" fillId="0" borderId="18" xfId="0" applyNumberFormat="1" applyBorder="1" applyAlignment="1">
      <alignment horizontal="center" vertical="top"/>
    </xf>
    <xf numFmtId="164" fontId="0" fillId="0" borderId="18" xfId="0" applyNumberFormat="1" applyBorder="1" applyAlignment="1">
      <alignment horizontal="center" vertical="top"/>
    </xf>
    <xf numFmtId="1" fontId="0" fillId="0" borderId="18" xfId="0" quotePrefix="1" applyNumberFormat="1" applyBorder="1" applyAlignment="1">
      <alignment horizontal="center" vertical="top"/>
    </xf>
    <xf numFmtId="44" fontId="0" fillId="0" borderId="18" xfId="0" quotePrefix="1" applyNumberFormat="1" applyBorder="1" applyAlignment="1">
      <alignment horizontal="center" vertical="top"/>
    </xf>
    <xf numFmtId="39" fontId="0" fillId="0" borderId="18" xfId="0" quotePrefix="1" applyNumberFormat="1" applyBorder="1" applyAlignment="1">
      <alignment horizontal="center" vertical="top"/>
    </xf>
    <xf numFmtId="1" fontId="3" fillId="0" borderId="1" xfId="0" quotePrefix="1" applyNumberFormat="1" applyFont="1" applyBorder="1" applyAlignment="1">
      <alignment horizontal="center" vertical="top"/>
    </xf>
    <xf numFmtId="43" fontId="3" fillId="0" borderId="1" xfId="0" applyNumberFormat="1" applyFont="1" applyBorder="1" applyAlignment="1">
      <alignment horizontal="right"/>
    </xf>
    <xf numFmtId="43" fontId="1" fillId="0" borderId="1" xfId="0" applyNumberFormat="1" applyFont="1" applyBorder="1" applyAlignment="1">
      <alignment horizontal="right" vertical="center"/>
    </xf>
    <xf numFmtId="4" fontId="0" fillId="0" borderId="0" xfId="0" applyNumberFormat="1"/>
    <xf numFmtId="4" fontId="3" fillId="9" borderId="1" xfId="0" quotePrefix="1" applyNumberFormat="1" applyFont="1" applyFill="1" applyBorder="1" applyAlignment="1">
      <alignment horizontal="center" vertical="top"/>
    </xf>
    <xf numFmtId="4" fontId="0" fillId="0" borderId="1" xfId="0" applyNumberFormat="1" applyBorder="1"/>
    <xf numFmtId="4" fontId="3" fillId="0" borderId="0" xfId="0" applyNumberFormat="1" applyFont="1"/>
    <xf numFmtId="4" fontId="3" fillId="0" borderId="39" xfId="0" applyNumberFormat="1" applyFont="1" applyBorder="1"/>
    <xf numFmtId="4" fontId="0" fillId="0" borderId="0" xfId="0" applyNumberFormat="1" applyAlignment="1">
      <alignment vertical="top"/>
    </xf>
    <xf numFmtId="14" fontId="0" fillId="7" borderId="18" xfId="0" applyNumberFormat="1" applyFill="1" applyBorder="1" applyAlignment="1">
      <alignment horizontal="center"/>
    </xf>
    <xf numFmtId="44" fontId="0" fillId="0" borderId="11" xfId="0" applyNumberFormat="1" applyBorder="1" applyAlignment="1">
      <alignment horizontal="center"/>
    </xf>
    <xf numFmtId="44" fontId="0" fillId="0" borderId="11" xfId="0" applyNumberFormat="1" applyBorder="1" applyAlignment="1">
      <alignment horizontal="right"/>
    </xf>
    <xf numFmtId="1" fontId="0" fillId="0" borderId="18" xfId="0" applyNumberFormat="1" applyBorder="1" applyAlignment="1">
      <alignment horizontal="center"/>
    </xf>
    <xf numFmtId="44" fontId="0" fillId="0" borderId="18" xfId="0" applyNumberFormat="1" applyBorder="1" applyAlignment="1">
      <alignment horizontal="center"/>
    </xf>
    <xf numFmtId="39" fontId="0" fillId="0" borderId="18" xfId="0" applyNumberFormat="1" applyBorder="1" applyAlignment="1">
      <alignment horizontal="center"/>
    </xf>
    <xf numFmtId="0" fontId="0" fillId="16" borderId="0" xfId="0" applyFill="1" applyAlignment="1">
      <alignment horizontal="center"/>
    </xf>
    <xf numFmtId="44" fontId="0" fillId="7" borderId="11" xfId="0" applyNumberFormat="1" applyFill="1" applyBorder="1" applyAlignment="1">
      <alignment horizontal="center"/>
    </xf>
    <xf numFmtId="1" fontId="0" fillId="7" borderId="18" xfId="0" applyNumberFormat="1" applyFill="1" applyBorder="1" applyAlignment="1">
      <alignment horizontal="center"/>
    </xf>
    <xf numFmtId="44" fontId="0" fillId="7" borderId="18" xfId="0" applyNumberFormat="1" applyFill="1" applyBorder="1" applyAlignment="1">
      <alignment horizontal="center"/>
    </xf>
    <xf numFmtId="39" fontId="0" fillId="7" borderId="18" xfId="0" applyNumberFormat="1" applyFill="1" applyBorder="1" applyAlignment="1">
      <alignment horizontal="center"/>
    </xf>
    <xf numFmtId="37" fontId="0" fillId="7" borderId="11" xfId="0" applyNumberFormat="1" applyFill="1" applyBorder="1" applyAlignment="1">
      <alignment horizontal="center"/>
    </xf>
    <xf numFmtId="14" fontId="0" fillId="0" borderId="11" xfId="0" applyNumberFormat="1" applyBorder="1" applyAlignment="1">
      <alignment horizontal="center" vertical="top"/>
    </xf>
    <xf numFmtId="164" fontId="3" fillId="0" borderId="3" xfId="0" applyNumberFormat="1" applyFont="1" applyBorder="1" applyAlignment="1">
      <alignment horizontal="right"/>
    </xf>
    <xf numFmtId="49" fontId="0" fillId="7" borderId="3" xfId="0" applyNumberFormat="1" applyFill="1" applyBorder="1" applyAlignment="1">
      <alignment horizontal="center" wrapText="1"/>
    </xf>
    <xf numFmtId="164" fontId="0" fillId="2" borderId="3" xfId="0" applyNumberFormat="1" applyFill="1" applyBorder="1" applyAlignment="1">
      <alignment horizontal="center"/>
    </xf>
    <xf numFmtId="49" fontId="0" fillId="3" borderId="17" xfId="0" applyNumberFormat="1" applyFill="1" applyBorder="1" applyAlignment="1">
      <alignment horizontal="center" vertical="top"/>
    </xf>
    <xf numFmtId="49" fontId="0" fillId="3" borderId="3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14" fontId="0" fillId="3" borderId="18" xfId="0" applyNumberFormat="1" applyFill="1" applyBorder="1" applyAlignment="1">
      <alignment horizontal="center" vertical="top"/>
    </xf>
    <xf numFmtId="0" fontId="0" fillId="3" borderId="3" xfId="0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44" fontId="0" fillId="6" borderId="11" xfId="0" quotePrefix="1" applyNumberFormat="1" applyFill="1" applyBorder="1" applyAlignment="1">
      <alignment horizontal="left" vertical="top"/>
    </xf>
    <xf numFmtId="44" fontId="0" fillId="6" borderId="3" xfId="0" applyNumberFormat="1" applyFill="1" applyBorder="1" applyAlignment="1">
      <alignment horizontal="left"/>
    </xf>
    <xf numFmtId="44" fontId="0" fillId="8" borderId="3" xfId="0" applyNumberFormat="1" applyFill="1" applyBorder="1" applyAlignment="1">
      <alignment horizontal="left"/>
    </xf>
    <xf numFmtId="14" fontId="3" fillId="8" borderId="1" xfId="0" applyNumberFormat="1" applyFont="1" applyFill="1" applyBorder="1" applyAlignment="1">
      <alignment horizontal="right"/>
    </xf>
    <xf numFmtId="164" fontId="3" fillId="2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 vertical="top"/>
    </xf>
    <xf numFmtId="49" fontId="3" fillId="0" borderId="1" xfId="0" applyNumberFormat="1" applyFont="1" applyBorder="1" applyAlignment="1">
      <alignment horizontal="center" vertical="top"/>
    </xf>
    <xf numFmtId="44" fontId="3" fillId="4" borderId="0" xfId="0" applyNumberFormat="1" applyFont="1" applyFill="1" applyAlignment="1">
      <alignment horizontal="center" vertical="center" wrapText="1"/>
    </xf>
    <xf numFmtId="44" fontId="3" fillId="4" borderId="0" xfId="0" applyNumberFormat="1" applyFont="1" applyFill="1" applyAlignment="1">
      <alignment horizontal="center" vertical="center"/>
    </xf>
    <xf numFmtId="44" fontId="3" fillId="4" borderId="26" xfId="0" applyNumberFormat="1" applyFont="1" applyFill="1" applyBorder="1" applyAlignment="1">
      <alignment horizontal="center" vertical="center" wrapText="1"/>
    </xf>
    <xf numFmtId="44" fontId="3" fillId="4" borderId="28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44" fontId="3" fillId="0" borderId="0" xfId="0" applyNumberFormat="1" applyFont="1" applyAlignment="1">
      <alignment horizontal="center" vertical="center"/>
    </xf>
    <xf numFmtId="44" fontId="3" fillId="0" borderId="0" xfId="0" applyNumberFormat="1" applyFont="1" applyAlignment="1">
      <alignment horizontal="center" vertical="top"/>
    </xf>
    <xf numFmtId="44" fontId="3" fillId="0" borderId="0" xfId="0" applyNumberFormat="1" applyFont="1" applyAlignment="1">
      <alignment horizontal="right" vertical="center"/>
    </xf>
    <xf numFmtId="1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center"/>
    </xf>
    <xf numFmtId="49" fontId="3" fillId="0" borderId="1" xfId="0" applyNumberFormat="1" applyFont="1" applyBorder="1" applyAlignment="1">
      <alignment horizontal="center" wrapText="1"/>
    </xf>
    <xf numFmtId="4" fontId="3" fillId="0" borderId="1" xfId="0" applyNumberFormat="1" applyFont="1" applyBorder="1" applyAlignment="1">
      <alignment horizontal="right"/>
    </xf>
    <xf numFmtId="49" fontId="3" fillId="0" borderId="73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right" vertical="center"/>
    </xf>
    <xf numFmtId="49" fontId="10" fillId="0" borderId="0" xfId="0" applyNumberFormat="1" applyFont="1" applyAlignment="1">
      <alignment horizontal="center"/>
    </xf>
    <xf numFmtId="44" fontId="3" fillId="17" borderId="29" xfId="0" applyNumberFormat="1" applyFont="1" applyFill="1" applyBorder="1" applyAlignment="1">
      <alignment horizontal="center"/>
    </xf>
    <xf numFmtId="49" fontId="0" fillId="0" borderId="12" xfId="0" applyNumberFormat="1" applyBorder="1" applyAlignment="1">
      <alignment horizontal="center" vertical="top"/>
    </xf>
    <xf numFmtId="14" fontId="0" fillId="0" borderId="1" xfId="0" applyNumberFormat="1" applyBorder="1" applyAlignment="1">
      <alignment horizontal="center" vertical="top"/>
    </xf>
    <xf numFmtId="43" fontId="0" fillId="2" borderId="0" xfId="0" applyNumberFormat="1" applyFill="1"/>
    <xf numFmtId="44" fontId="4" fillId="12" borderId="48" xfId="0" applyNumberFormat="1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/>
    </xf>
    <xf numFmtId="44" fontId="3" fillId="0" borderId="0" xfId="0" applyNumberFormat="1" applyFont="1" applyAlignment="1">
      <alignment horizontal="center" wrapText="1"/>
    </xf>
    <xf numFmtId="4" fontId="3" fillId="0" borderId="0" xfId="0" applyNumberFormat="1" applyFont="1" applyAlignment="1">
      <alignment horizontal="center"/>
    </xf>
    <xf numFmtId="2" fontId="3" fillId="2" borderId="1" xfId="0" applyNumberFormat="1" applyFont="1" applyFill="1" applyBorder="1" applyAlignment="1">
      <alignment horizontal="center"/>
    </xf>
    <xf numFmtId="44" fontId="3" fillId="2" borderId="11" xfId="0" applyNumberFormat="1" applyFont="1" applyFill="1" applyBorder="1" applyAlignment="1">
      <alignment horizontal="center" vertical="center"/>
    </xf>
    <xf numFmtId="44" fontId="3" fillId="2" borderId="11" xfId="0" applyNumberFormat="1" applyFont="1" applyFill="1" applyBorder="1" applyAlignment="1">
      <alignment horizontal="center" wrapText="1"/>
    </xf>
    <xf numFmtId="0" fontId="3" fillId="2" borderId="38" xfId="0" applyFont="1" applyFill="1" applyBorder="1" applyAlignment="1">
      <alignment horizontal="center" vertical="center" wrapText="1"/>
    </xf>
    <xf numFmtId="44" fontId="0" fillId="2" borderId="74" xfId="0" applyNumberFormat="1" applyFill="1" applyBorder="1" applyAlignment="1">
      <alignment horizontal="right"/>
    </xf>
    <xf numFmtId="2" fontId="0" fillId="2" borderId="75" xfId="0" applyNumberFormat="1" applyFill="1" applyBorder="1" applyAlignment="1">
      <alignment horizontal="center"/>
    </xf>
    <xf numFmtId="44" fontId="11" fillId="2" borderId="75" xfId="0" applyNumberFormat="1" applyFont="1" applyFill="1" applyBorder="1" applyAlignment="1">
      <alignment horizontal="center" vertical="center"/>
    </xf>
    <xf numFmtId="0" fontId="0" fillId="2" borderId="75" xfId="0" applyFill="1" applyBorder="1" applyAlignment="1">
      <alignment horizontal="center"/>
    </xf>
    <xf numFmtId="0" fontId="0" fillId="2" borderId="76" xfId="0" applyFill="1" applyBorder="1" applyAlignment="1">
      <alignment horizontal="center"/>
    </xf>
    <xf numFmtId="44" fontId="3" fillId="0" borderId="73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4" fontId="3" fillId="0" borderId="33" xfId="0" applyNumberFormat="1" applyFont="1" applyBorder="1" applyAlignment="1">
      <alignment horizontal="center"/>
    </xf>
    <xf numFmtId="44" fontId="0" fillId="0" borderId="74" xfId="0" applyNumberFormat="1" applyBorder="1" applyAlignment="1">
      <alignment horizontal="center"/>
    </xf>
    <xf numFmtId="4" fontId="0" fillId="0" borderId="76" xfId="0" applyNumberFormat="1" applyBorder="1" applyAlignment="1">
      <alignment horizontal="center"/>
    </xf>
    <xf numFmtId="2" fontId="0" fillId="6" borderId="75" xfId="0" applyNumberFormat="1" applyFill="1" applyBorder="1" applyAlignment="1">
      <alignment horizontal="center"/>
    </xf>
    <xf numFmtId="4" fontId="3" fillId="6" borderId="75" xfId="0" applyNumberFormat="1" applyFont="1" applyFill="1" applyBorder="1" applyAlignment="1">
      <alignment horizontal="right" vertical="center"/>
    </xf>
    <xf numFmtId="4" fontId="3" fillId="6" borderId="75" xfId="0" applyNumberFormat="1" applyFont="1" applyFill="1" applyBorder="1" applyAlignment="1">
      <alignment horizontal="center"/>
    </xf>
    <xf numFmtId="44" fontId="3" fillId="6" borderId="2" xfId="0" applyNumberFormat="1" applyFont="1" applyFill="1" applyBorder="1" applyAlignment="1">
      <alignment horizontal="center" vertical="center"/>
    </xf>
    <xf numFmtId="2" fontId="3" fillId="6" borderId="1" xfId="0" applyNumberFormat="1" applyFont="1" applyFill="1" applyBorder="1" applyAlignment="1">
      <alignment horizontal="center"/>
    </xf>
    <xf numFmtId="4" fontId="3" fillId="6" borderId="1" xfId="0" applyNumberFormat="1" applyFont="1" applyFill="1" applyBorder="1" applyAlignment="1">
      <alignment horizontal="center"/>
    </xf>
    <xf numFmtId="4" fontId="3" fillId="6" borderId="29" xfId="0" applyNumberFormat="1" applyFont="1" applyFill="1" applyBorder="1" applyAlignment="1">
      <alignment horizontal="center"/>
    </xf>
    <xf numFmtId="44" fontId="3" fillId="6" borderId="2" xfId="0" applyNumberFormat="1" applyFont="1" applyFill="1" applyBorder="1" applyAlignment="1">
      <alignment horizontal="center"/>
    </xf>
    <xf numFmtId="44" fontId="3" fillId="0" borderId="2" xfId="0" applyNumberFormat="1" applyFont="1" applyBorder="1" applyAlignment="1">
      <alignment horizontal="center"/>
    </xf>
    <xf numFmtId="4" fontId="3" fillId="0" borderId="29" xfId="0" applyNumberFormat="1" applyFont="1" applyBorder="1" applyAlignment="1">
      <alignment horizontal="center"/>
    </xf>
    <xf numFmtId="167" fontId="4" fillId="2" borderId="48" xfId="0" applyNumberFormat="1" applyFont="1" applyFill="1" applyBorder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49" fontId="3" fillId="7" borderId="0" xfId="0" applyNumberFormat="1" applyFont="1" applyFill="1" applyAlignment="1">
      <alignment horizontal="center"/>
    </xf>
    <xf numFmtId="0" fontId="3" fillId="3" borderId="0" xfId="0" applyFont="1" applyFill="1"/>
    <xf numFmtId="2" fontId="3" fillId="3" borderId="0" xfId="0" applyNumberFormat="1" applyFont="1" applyFill="1" applyAlignment="1">
      <alignment horizontal="center" vertical="top"/>
    </xf>
    <xf numFmtId="0" fontId="3" fillId="3" borderId="0" xfId="0" applyFont="1" applyFill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right"/>
    </xf>
    <xf numFmtId="43" fontId="3" fillId="0" borderId="0" xfId="0" applyNumberFormat="1" applyFont="1" applyAlignment="1">
      <alignment horizontal="right"/>
    </xf>
    <xf numFmtId="0" fontId="3" fillId="0" borderId="0" xfId="0" applyFont="1" applyAlignment="1">
      <alignment horizontal="left" vertical="center"/>
    </xf>
    <xf numFmtId="43" fontId="7" fillId="0" borderId="0" xfId="0" applyNumberFormat="1" applyFont="1" applyAlignment="1">
      <alignment horizontal="right" vertical="center"/>
    </xf>
    <xf numFmtId="44" fontId="0" fillId="0" borderId="40" xfId="0" applyNumberFormat="1" applyBorder="1" applyAlignment="1">
      <alignment horizontal="right"/>
    </xf>
    <xf numFmtId="0" fontId="0" fillId="0" borderId="3" xfId="0" applyBorder="1" applyAlignment="1">
      <alignment horizontal="left"/>
    </xf>
    <xf numFmtId="4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2" fillId="2" borderId="0" xfId="0" applyNumberFormat="1" applyFont="1" applyFill="1" applyAlignment="1">
      <alignment horizontal="center"/>
    </xf>
    <xf numFmtId="44" fontId="0" fillId="8" borderId="0" xfId="0" applyNumberFormat="1" applyFill="1" applyAlignment="1">
      <alignment horizontal="center" vertical="center"/>
    </xf>
    <xf numFmtId="49" fontId="0" fillId="8" borderId="3" xfId="0" applyNumberFormat="1" applyFill="1" applyBorder="1" applyAlignment="1">
      <alignment horizontal="center" wrapText="1"/>
    </xf>
    <xf numFmtId="1" fontId="0" fillId="8" borderId="18" xfId="0" applyNumberFormat="1" applyFill="1" applyBorder="1" applyAlignment="1">
      <alignment horizontal="center"/>
    </xf>
    <xf numFmtId="44" fontId="0" fillId="8" borderId="18" xfId="0" applyNumberFormat="1" applyFill="1" applyBorder="1" applyAlignment="1">
      <alignment horizontal="center"/>
    </xf>
    <xf numFmtId="39" fontId="0" fillId="8" borderId="18" xfId="0" applyNumberFormat="1" applyFill="1" applyBorder="1" applyAlignment="1">
      <alignment horizontal="center"/>
    </xf>
    <xf numFmtId="44" fontId="0" fillId="8" borderId="3" xfId="0" applyNumberFormat="1" applyFill="1" applyBorder="1" applyAlignment="1">
      <alignment horizontal="right"/>
    </xf>
    <xf numFmtId="49" fontId="0" fillId="0" borderId="73" xfId="0" applyNumberFormat="1" applyBorder="1" applyAlignment="1">
      <alignment horizontal="center"/>
    </xf>
    <xf numFmtId="1" fontId="0" fillId="0" borderId="18" xfId="0" applyNumberFormat="1" applyBorder="1" applyAlignment="1">
      <alignment horizontal="center" vertical="top"/>
    </xf>
    <xf numFmtId="44" fontId="3" fillId="0" borderId="11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49" fontId="3" fillId="2" borderId="3" xfId="0" applyNumberFormat="1" applyFont="1" applyFill="1" applyBorder="1" applyAlignment="1">
      <alignment horizontal="center"/>
    </xf>
    <xf numFmtId="2" fontId="3" fillId="2" borderId="3" xfId="0" applyNumberFormat="1" applyFont="1" applyFill="1" applyBorder="1" applyAlignment="1">
      <alignment horizontal="center"/>
    </xf>
    <xf numFmtId="14" fontId="3" fillId="2" borderId="3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4" fontId="3" fillId="18" borderId="1" xfId="0" applyNumberFormat="1" applyFont="1" applyFill="1" applyBorder="1" applyAlignment="1">
      <alignment horizontal="center"/>
    </xf>
    <xf numFmtId="44" fontId="3" fillId="14" borderId="1" xfId="0" applyNumberFormat="1" applyFont="1" applyFill="1" applyBorder="1" applyAlignment="1">
      <alignment horizontal="left"/>
    </xf>
    <xf numFmtId="49" fontId="0" fillId="2" borderId="3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44" fontId="0" fillId="3" borderId="1" xfId="0" applyNumberFormat="1" applyFill="1" applyBorder="1" applyAlignment="1">
      <alignment horizontal="left"/>
    </xf>
    <xf numFmtId="44" fontId="3" fillId="8" borderId="53" xfId="0" quotePrefix="1" applyNumberFormat="1" applyFont="1" applyFill="1" applyBorder="1" applyAlignment="1">
      <alignment horizontal="center" vertical="top"/>
    </xf>
    <xf numFmtId="44" fontId="3" fillId="2" borderId="0" xfId="0" applyNumberFormat="1" applyFont="1" applyFill="1" applyAlignment="1">
      <alignment horizontal="center"/>
    </xf>
    <xf numFmtId="14" fontId="3" fillId="3" borderId="3" xfId="0" applyNumberFormat="1" applyFont="1" applyFill="1" applyBorder="1" applyAlignment="1">
      <alignment horizontal="center"/>
    </xf>
    <xf numFmtId="14" fontId="3" fillId="8" borderId="3" xfId="0" applyNumberFormat="1" applyFont="1" applyFill="1" applyBorder="1" applyAlignment="1">
      <alignment horizontal="center"/>
    </xf>
    <xf numFmtId="1" fontId="3" fillId="8" borderId="3" xfId="0" applyNumberFormat="1" applyFont="1" applyFill="1" applyBorder="1" applyAlignment="1">
      <alignment horizontal="center"/>
    </xf>
    <xf numFmtId="44" fontId="3" fillId="8" borderId="3" xfId="0" applyNumberFormat="1" applyFont="1" applyFill="1" applyBorder="1" applyAlignment="1">
      <alignment horizontal="center"/>
    </xf>
    <xf numFmtId="44" fontId="3" fillId="8" borderId="3" xfId="0" quotePrefix="1" applyNumberFormat="1" applyFont="1" applyFill="1" applyBorder="1" applyAlignment="1">
      <alignment horizontal="center" vertical="top"/>
    </xf>
    <xf numFmtId="44" fontId="3" fillId="8" borderId="33" xfId="0" applyNumberFormat="1" applyFont="1" applyFill="1" applyBorder="1" applyAlignment="1">
      <alignment horizontal="right" vertical="top"/>
    </xf>
    <xf numFmtId="164" fontId="3" fillId="3" borderId="3" xfId="0" applyNumberFormat="1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4" fontId="3" fillId="12" borderId="1" xfId="0" applyNumberFormat="1" applyFont="1" applyFill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44" fontId="3" fillId="2" borderId="29" xfId="0" applyNumberFormat="1" applyFont="1" applyFill="1" applyBorder="1" applyAlignment="1">
      <alignment horizontal="right" vertical="top"/>
    </xf>
    <xf numFmtId="44" fontId="3" fillId="2" borderId="1" xfId="0" quotePrefix="1" applyNumberFormat="1" applyFont="1" applyFill="1" applyBorder="1" applyAlignment="1">
      <alignment horizontal="center" vertical="top"/>
    </xf>
    <xf numFmtId="44" fontId="3" fillId="2" borderId="1" xfId="0" quotePrefix="1" applyNumberFormat="1" applyFont="1" applyFill="1" applyBorder="1" applyAlignment="1">
      <alignment horizontal="right" vertical="top"/>
    </xf>
    <xf numFmtId="37" fontId="3" fillId="2" borderId="29" xfId="0" applyNumberFormat="1" applyFont="1" applyFill="1" applyBorder="1" applyAlignment="1">
      <alignment horizontal="center" vertical="top"/>
    </xf>
    <xf numFmtId="44" fontId="0" fillId="2" borderId="11" xfId="0" quotePrefix="1" applyNumberFormat="1" applyFill="1" applyBorder="1" applyAlignment="1">
      <alignment horizontal="left" vertical="top"/>
    </xf>
    <xf numFmtId="1" fontId="3" fillId="2" borderId="18" xfId="0" quotePrefix="1" applyNumberFormat="1" applyFont="1" applyFill="1" applyBorder="1" applyAlignment="1">
      <alignment horizontal="left" vertical="top"/>
    </xf>
    <xf numFmtId="44" fontId="3" fillId="2" borderId="18" xfId="0" quotePrefix="1" applyNumberFormat="1" applyFont="1" applyFill="1" applyBorder="1" applyAlignment="1">
      <alignment horizontal="center" vertical="top"/>
    </xf>
    <xf numFmtId="39" fontId="3" fillId="2" borderId="18" xfId="0" quotePrefix="1" applyNumberFormat="1" applyFont="1" applyFill="1" applyBorder="1" applyAlignment="1">
      <alignment horizontal="center" vertical="top"/>
    </xf>
    <xf numFmtId="1" fontId="3" fillId="2" borderId="18" xfId="0" quotePrefix="1" applyNumberFormat="1" applyFont="1" applyFill="1" applyBorder="1" applyAlignment="1">
      <alignment horizontal="center" vertical="top"/>
    </xf>
    <xf numFmtId="49" fontId="0" fillId="2" borderId="2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14" fontId="0" fillId="2" borderId="18" xfId="0" applyNumberFormat="1" applyFill="1" applyBorder="1" applyAlignment="1">
      <alignment horizontal="center" vertical="top"/>
    </xf>
    <xf numFmtId="49" fontId="0" fillId="2" borderId="11" xfId="0" applyNumberFormat="1" applyFill="1" applyBorder="1" applyAlignment="1">
      <alignment horizontal="center" vertical="top"/>
    </xf>
    <xf numFmtId="1" fontId="0" fillId="2" borderId="11" xfId="0" applyNumberFormat="1" applyFill="1" applyBorder="1" applyAlignment="1">
      <alignment horizontal="center" vertical="top"/>
    </xf>
    <xf numFmtId="1" fontId="3" fillId="2" borderId="1" xfId="0" applyNumberFormat="1" applyFont="1" applyFill="1" applyBorder="1" applyAlignment="1">
      <alignment horizontal="center"/>
    </xf>
    <xf numFmtId="0" fontId="3" fillId="8" borderId="31" xfId="0" applyFont="1" applyFill="1" applyBorder="1" applyAlignment="1">
      <alignment horizontal="center"/>
    </xf>
    <xf numFmtId="0" fontId="3" fillId="8" borderId="31" xfId="0" applyFont="1" applyFill="1" applyBorder="1" applyAlignment="1">
      <alignment horizontal="right"/>
    </xf>
    <xf numFmtId="44" fontId="3" fillId="0" borderId="29" xfId="0" applyNumberFormat="1" applyFont="1" applyBorder="1" applyAlignment="1">
      <alignment horizontal="center"/>
    </xf>
    <xf numFmtId="1" fontId="3" fillId="6" borderId="22" xfId="0" applyNumberFormat="1" applyFont="1" applyFill="1" applyBorder="1" applyAlignment="1">
      <alignment horizontal="center" vertical="top" wrapText="1"/>
    </xf>
    <xf numFmtId="1" fontId="3" fillId="6" borderId="1" xfId="0" applyNumberFormat="1" applyFont="1" applyFill="1" applyBorder="1" applyAlignment="1">
      <alignment horizontal="center" vertical="top" wrapText="1"/>
    </xf>
    <xf numFmtId="2" fontId="6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44" fontId="4" fillId="2" borderId="26" xfId="0" applyNumberFormat="1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 wrapText="1"/>
    </xf>
    <xf numFmtId="0" fontId="3" fillId="0" borderId="31" xfId="0" applyFont="1" applyBorder="1" applyAlignment="1">
      <alignment horizontal="center"/>
    </xf>
    <xf numFmtId="49" fontId="4" fillId="0" borderId="43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0" fillId="0" borderId="23" xfId="0" applyBorder="1"/>
    <xf numFmtId="0" fontId="0" fillId="0" borderId="65" xfId="0" applyBorder="1"/>
    <xf numFmtId="0" fontId="4" fillId="0" borderId="42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0" fillId="0" borderId="39" xfId="0" applyBorder="1"/>
    <xf numFmtId="0" fontId="0" fillId="0" borderId="66" xfId="0" applyBorder="1"/>
    <xf numFmtId="39" fontId="6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31" xfId="0" applyFont="1" applyBorder="1"/>
    <xf numFmtId="0" fontId="4" fillId="2" borderId="26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49" fontId="3" fillId="7" borderId="22" xfId="0" applyNumberFormat="1" applyFont="1" applyFill="1" applyBorder="1" applyAlignment="1">
      <alignment horizontal="center" vertical="top" wrapText="1"/>
    </xf>
    <xf numFmtId="49" fontId="3" fillId="7" borderId="1" xfId="0" applyNumberFormat="1" applyFont="1" applyFill="1" applyBorder="1" applyAlignment="1">
      <alignment horizontal="center" vertical="top" wrapText="1"/>
    </xf>
    <xf numFmtId="44" fontId="3" fillId="6" borderId="22" xfId="0" applyNumberFormat="1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44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6" fillId="0" borderId="31" xfId="0" applyFont="1" applyBorder="1" applyAlignment="1">
      <alignment horizontal="center" vertical="center"/>
    </xf>
    <xf numFmtId="49" fontId="3" fillId="7" borderId="21" xfId="0" applyNumberFormat="1" applyFont="1" applyFill="1" applyBorder="1" applyAlignment="1">
      <alignment horizontal="center" vertical="top"/>
    </xf>
    <xf numFmtId="0" fontId="3" fillId="7" borderId="2" xfId="0" applyFont="1" applyFill="1" applyBorder="1" applyAlignment="1">
      <alignment horizontal="center" vertical="top"/>
    </xf>
    <xf numFmtId="0" fontId="3" fillId="7" borderId="1" xfId="0" applyFont="1" applyFill="1" applyBorder="1" applyAlignment="1">
      <alignment horizontal="center" vertical="top" wrapText="1"/>
    </xf>
    <xf numFmtId="49" fontId="3" fillId="7" borderId="22" xfId="0" applyNumberFormat="1" applyFont="1" applyFill="1" applyBorder="1" applyAlignment="1">
      <alignment horizontal="center" vertical="top"/>
    </xf>
    <xf numFmtId="0" fontId="3" fillId="7" borderId="1" xfId="0" applyFont="1" applyFill="1" applyBorder="1" applyAlignment="1">
      <alignment horizontal="center" vertical="top"/>
    </xf>
    <xf numFmtId="0" fontId="3" fillId="6" borderId="22" xfId="0" applyFont="1" applyFill="1" applyBorder="1" applyAlignment="1">
      <alignment horizontal="center" vertical="top" wrapText="1"/>
    </xf>
    <xf numFmtId="0" fontId="3" fillId="6" borderId="1" xfId="0" applyFont="1" applyFill="1" applyBorder="1" applyAlignment="1">
      <alignment vertical="top" wrapText="1"/>
    </xf>
    <xf numFmtId="39" fontId="3" fillId="9" borderId="22" xfId="0" applyNumberFormat="1" applyFont="1" applyFill="1" applyBorder="1" applyAlignment="1">
      <alignment horizontal="center" vertical="top" wrapText="1"/>
    </xf>
    <xf numFmtId="39" fontId="3" fillId="9" borderId="1" xfId="0" applyNumberFormat="1" applyFont="1" applyFill="1" applyBorder="1" applyAlignment="1">
      <alignment horizontal="center" vertical="top" wrapText="1"/>
    </xf>
    <xf numFmtId="166" fontId="4" fillId="2" borderId="26" xfId="0" applyNumberFormat="1" applyFont="1" applyFill="1" applyBorder="1" applyAlignment="1">
      <alignment horizontal="center"/>
    </xf>
    <xf numFmtId="0" fontId="11" fillId="2" borderId="27" xfId="0" applyFont="1" applyFill="1" applyBorder="1" applyAlignment="1">
      <alignment horizontal="center"/>
    </xf>
    <xf numFmtId="0" fontId="11" fillId="2" borderId="28" xfId="0" applyFont="1" applyFill="1" applyBorder="1" applyAlignment="1">
      <alignment horizontal="center"/>
    </xf>
    <xf numFmtId="0" fontId="3" fillId="6" borderId="47" xfId="0" applyFont="1" applyFill="1" applyBorder="1" applyAlignment="1">
      <alignment horizontal="center"/>
    </xf>
    <xf numFmtId="0" fontId="3" fillId="6" borderId="47" xfId="0" applyFont="1" applyFill="1" applyBorder="1"/>
    <xf numFmtId="0" fontId="3" fillId="6" borderId="48" xfId="0" applyFont="1" applyFill="1" applyBorder="1" applyAlignment="1">
      <alignment horizontal="center"/>
    </xf>
    <xf numFmtId="0" fontId="3" fillId="6" borderId="48" xfId="0" applyFont="1" applyFill="1" applyBorder="1"/>
    <xf numFmtId="14" fontId="2" fillId="2" borderId="63" xfId="0" applyNumberFormat="1" applyFont="1" applyFill="1" applyBorder="1" applyAlignment="1">
      <alignment horizontal="center" vertical="center"/>
    </xf>
    <xf numFmtId="0" fontId="0" fillId="0" borderId="63" xfId="0" applyBorder="1"/>
    <xf numFmtId="0" fontId="0" fillId="0" borderId="64" xfId="0" applyBorder="1"/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2" fillId="0" borderId="63" xfId="0" applyFont="1" applyBorder="1" applyAlignment="1">
      <alignment vertical="center"/>
    </xf>
    <xf numFmtId="0" fontId="2" fillId="0" borderId="64" xfId="0" applyFont="1" applyBorder="1" applyAlignment="1">
      <alignment vertic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44" fontId="3" fillId="6" borderId="3" xfId="0" applyNumberFormat="1" applyFont="1" applyFill="1" applyBorder="1" applyAlignment="1">
      <alignment horizontal="center" vertical="center"/>
    </xf>
    <xf numFmtId="44" fontId="3" fillId="6" borderId="18" xfId="0" applyNumberFormat="1" applyFont="1" applyFill="1" applyBorder="1" applyAlignment="1">
      <alignment horizontal="center" vertical="center"/>
    </xf>
    <xf numFmtId="44" fontId="3" fillId="6" borderId="50" xfId="0" applyNumberFormat="1" applyFont="1" applyFill="1" applyBorder="1" applyAlignment="1">
      <alignment horizontal="center" vertical="center"/>
    </xf>
    <xf numFmtId="44" fontId="3" fillId="6" borderId="3" xfId="0" applyNumberFormat="1" applyFont="1" applyFill="1" applyBorder="1" applyAlignment="1">
      <alignment horizontal="right" vertical="center"/>
    </xf>
    <xf numFmtId="44" fontId="3" fillId="6" borderId="18" xfId="0" applyNumberFormat="1" applyFont="1" applyFill="1" applyBorder="1" applyAlignment="1">
      <alignment horizontal="right" vertical="center"/>
    </xf>
    <xf numFmtId="44" fontId="3" fillId="6" borderId="50" xfId="0" applyNumberFormat="1" applyFont="1" applyFill="1" applyBorder="1" applyAlignment="1">
      <alignment horizontal="right" vertical="center"/>
    </xf>
    <xf numFmtId="1" fontId="3" fillId="9" borderId="22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4" fontId="3" fillId="9" borderId="22" xfId="0" applyNumberFormat="1" applyFont="1" applyFill="1" applyBorder="1" applyAlignment="1">
      <alignment horizontal="center" vertical="top" wrapText="1"/>
    </xf>
    <xf numFmtId="4" fontId="3" fillId="9" borderId="1" xfId="0" applyNumberFormat="1" applyFont="1" applyFill="1" applyBorder="1" applyAlignment="1">
      <alignment horizontal="center" vertical="top" wrapText="1"/>
    </xf>
    <xf numFmtId="49" fontId="3" fillId="6" borderId="22" xfId="0" applyNumberFormat="1" applyFont="1" applyFill="1" applyBorder="1" applyAlignment="1">
      <alignment horizontal="center" vertical="top" wrapText="1"/>
    </xf>
    <xf numFmtId="0" fontId="3" fillId="6" borderId="1" xfId="0" applyFont="1" applyFill="1" applyBorder="1" applyAlignment="1">
      <alignment horizontal="center" vertical="top" wrapText="1"/>
    </xf>
    <xf numFmtId="0" fontId="3" fillId="6" borderId="71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50" xfId="0" applyFont="1" applyFill="1" applyBorder="1" applyAlignment="1">
      <alignment horizontal="center" vertical="center"/>
    </xf>
    <xf numFmtId="1" fontId="3" fillId="7" borderId="61" xfId="0" applyNumberFormat="1" applyFont="1" applyFill="1" applyBorder="1" applyAlignment="1">
      <alignment horizontal="center" vertical="top" wrapText="1"/>
    </xf>
    <xf numFmtId="0" fontId="3" fillId="7" borderId="62" xfId="0" applyFont="1" applyFill="1" applyBorder="1" applyAlignment="1">
      <alignment horizontal="center" vertical="top" wrapText="1"/>
    </xf>
    <xf numFmtId="4" fontId="3" fillId="5" borderId="60" xfId="0" applyNumberFormat="1" applyFont="1" applyFill="1" applyBorder="1" applyAlignment="1">
      <alignment horizontal="center" vertical="top" wrapText="1"/>
    </xf>
    <xf numFmtId="4" fontId="3" fillId="0" borderId="11" xfId="0" applyNumberFormat="1" applyFont="1" applyBorder="1" applyAlignment="1">
      <alignment horizontal="center" vertical="top" wrapText="1"/>
    </xf>
    <xf numFmtId="0" fontId="3" fillId="6" borderId="38" xfId="0" applyFont="1" applyFill="1" applyBorder="1" applyAlignment="1">
      <alignment horizontal="center" vertical="top" wrapText="1"/>
    </xf>
    <xf numFmtId="0" fontId="3" fillId="6" borderId="29" xfId="0" applyFont="1" applyFill="1" applyBorder="1" applyAlignment="1">
      <alignment horizontal="center" vertical="top" wrapText="1"/>
    </xf>
    <xf numFmtId="49" fontId="3" fillId="6" borderId="22" xfId="0" applyNumberFormat="1" applyFont="1" applyFill="1" applyBorder="1" applyAlignment="1">
      <alignment horizontal="center" vertical="top"/>
    </xf>
    <xf numFmtId="0" fontId="3" fillId="6" borderId="1" xfId="0" applyFont="1" applyFill="1" applyBorder="1" applyAlignment="1">
      <alignment horizontal="center" vertical="top"/>
    </xf>
    <xf numFmtId="0" fontId="3" fillId="6" borderId="60" xfId="0" applyFont="1" applyFill="1" applyBorder="1" applyAlignment="1">
      <alignment horizontal="center" vertical="top" wrapText="1"/>
    </xf>
    <xf numFmtId="0" fontId="3" fillId="6" borderId="11" xfId="0" applyFont="1" applyFill="1" applyBorder="1" applyAlignment="1">
      <alignment horizontal="center" vertical="top" wrapText="1"/>
    </xf>
    <xf numFmtId="0" fontId="3" fillId="6" borderId="24" xfId="0" applyFont="1" applyFill="1" applyBorder="1" applyAlignment="1">
      <alignment horizontal="center" vertical="top" wrapText="1"/>
    </xf>
    <xf numFmtId="49" fontId="3" fillId="6" borderId="11" xfId="0" applyNumberFormat="1" applyFont="1" applyFill="1" applyBorder="1" applyAlignment="1">
      <alignment horizontal="center" vertical="top"/>
    </xf>
    <xf numFmtId="49" fontId="3" fillId="6" borderId="11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0" borderId="34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7" borderId="60" xfId="0" applyNumberFormat="1" applyFill="1" applyBorder="1" applyAlignment="1">
      <alignment horizontal="center" vertical="top" wrapText="1"/>
    </xf>
    <xf numFmtId="1" fontId="0" fillId="7" borderId="11" xfId="0" applyNumberFormat="1" applyFill="1" applyBorder="1" applyAlignment="1">
      <alignment horizontal="center" vertical="top" wrapText="1"/>
    </xf>
    <xf numFmtId="49" fontId="0" fillId="7" borderId="5" xfId="0" applyNumberFormat="1" applyFill="1" applyBorder="1" applyAlignment="1">
      <alignment horizontal="center" vertical="top" wrapText="1"/>
    </xf>
    <xf numFmtId="0" fontId="0" fillId="7" borderId="8" xfId="0" applyFill="1" applyBorder="1" applyAlignment="1">
      <alignment horizontal="center" vertical="top"/>
    </xf>
    <xf numFmtId="0" fontId="3" fillId="6" borderId="5" xfId="0" applyFont="1" applyFill="1" applyBorder="1" applyAlignment="1">
      <alignment horizontal="center" vertical="top" wrapText="1"/>
    </xf>
    <xf numFmtId="0" fontId="3" fillId="6" borderId="8" xfId="0" applyFont="1" applyFill="1" applyBorder="1" applyAlignment="1">
      <alignment vertical="top" wrapText="1"/>
    </xf>
    <xf numFmtId="0" fontId="0" fillId="7" borderId="8" xfId="0" applyFill="1" applyBorder="1" applyAlignment="1">
      <alignment horizontal="center" vertical="top" wrapText="1"/>
    </xf>
    <xf numFmtId="44" fontId="4" fillId="6" borderId="15" xfId="0" applyNumberFormat="1" applyFont="1" applyFill="1" applyBorder="1" applyAlignment="1">
      <alignment horizontal="center" vertical="center"/>
    </xf>
    <xf numFmtId="44" fontId="4" fillId="6" borderId="19" xfId="0" applyNumberFormat="1" applyFont="1" applyFill="1" applyBorder="1" applyAlignment="1">
      <alignment horizontal="center" vertical="center"/>
    </xf>
    <xf numFmtId="44" fontId="4" fillId="6" borderId="49" xfId="0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top"/>
    </xf>
    <xf numFmtId="0" fontId="3" fillId="6" borderId="33" xfId="0" applyFont="1" applyFill="1" applyBorder="1" applyAlignment="1">
      <alignment horizontal="center" vertical="top" wrapText="1"/>
    </xf>
    <xf numFmtId="0" fontId="3" fillId="6" borderId="3" xfId="0" applyFont="1" applyFill="1" applyBorder="1" applyAlignment="1">
      <alignment horizontal="center" vertical="top" wrapText="1"/>
    </xf>
    <xf numFmtId="0" fontId="0" fillId="7" borderId="62" xfId="0" applyFill="1" applyBorder="1" applyAlignment="1">
      <alignment horizontal="center" vertical="top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0" fontId="0" fillId="7" borderId="5" xfId="0" applyFill="1" applyBorder="1" applyAlignment="1">
      <alignment horizontal="center" vertical="top" wrapText="1"/>
    </xf>
    <xf numFmtId="0" fontId="0" fillId="7" borderId="8" xfId="0" applyFill="1" applyBorder="1" applyAlignment="1">
      <alignment vertical="top" wrapText="1"/>
    </xf>
    <xf numFmtId="49" fontId="0" fillId="7" borderId="5" xfId="0" applyNumberFormat="1" applyFill="1" applyBorder="1" applyAlignment="1">
      <alignment horizontal="center" vertical="top"/>
    </xf>
    <xf numFmtId="49" fontId="0" fillId="7" borderId="4" xfId="0" applyNumberFormat="1" applyFill="1" applyBorder="1" applyAlignment="1">
      <alignment horizontal="center" vertical="top"/>
    </xf>
    <xf numFmtId="0" fontId="0" fillId="7" borderId="7" xfId="0" applyFill="1" applyBorder="1" applyAlignment="1">
      <alignment horizontal="center" vertical="top"/>
    </xf>
    <xf numFmtId="49" fontId="4" fillId="2" borderId="43" xfId="0" applyNumberFormat="1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34" xfId="0" applyBorder="1" applyAlignment="1">
      <alignment vertical="center"/>
    </xf>
    <xf numFmtId="0" fontId="4" fillId="2" borderId="42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0" fillId="0" borderId="39" xfId="0" applyBorder="1" applyAlignment="1">
      <alignment vertical="center"/>
    </xf>
    <xf numFmtId="0" fontId="0" fillId="0" borderId="44" xfId="0" applyBorder="1" applyAlignment="1">
      <alignment vertical="center"/>
    </xf>
    <xf numFmtId="44" fontId="3" fillId="2" borderId="62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/>
    </xf>
    <xf numFmtId="44" fontId="6" fillId="2" borderId="1" xfId="0" applyNumberFormat="1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top" wrapText="1"/>
    </xf>
    <xf numFmtId="0" fontId="0" fillId="7" borderId="1" xfId="0" applyFill="1" applyBorder="1" applyAlignment="1">
      <alignment horizontal="center" vertical="top" wrapText="1"/>
    </xf>
    <xf numFmtId="49" fontId="0" fillId="7" borderId="11" xfId="0" applyNumberFormat="1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1-4A14-AEC8-8B781C951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1-47C3-926D-CBB9B14C1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46B9-A6F7-E87AB8FA9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6-4B46-A869-C3BE55113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0-4ACD-8394-77DFDAE52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D-47D2-BDBC-6D5818794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E-4FE4-854E-8F8158421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7447423553914"/>
          <c:y val="0.19478046374670446"/>
          <c:w val="0.877471814000632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Sheet1!$AV$14:$AV$17</c:f>
              <c:strCache>
                <c:ptCount val="4"/>
                <c:pt idx="0">
                  <c:v>9/19/2025</c:v>
                </c:pt>
                <c:pt idx="1">
                  <c:v>11/10/2024</c:v>
                </c:pt>
                <c:pt idx="2">
                  <c:v>2/14/2025</c:v>
                </c:pt>
                <c:pt idx="3">
                  <c:v>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Sheet1!$AV$18:$AV$22</c:f>
              <c:numCache>
                <c:formatCode>0.000</c:formatCode>
                <c:ptCount val="5"/>
                <c:pt idx="0" formatCode="0">
                  <c:v>2</c:v>
                </c:pt>
                <c:pt idx="1">
                  <c:v>0.15</c:v>
                </c:pt>
                <c:pt idx="2" formatCode="0">
                  <c:v>1000</c:v>
                </c:pt>
                <c:pt idx="3" formatCode="_(&quot;$&quot;* #,##0.00_);_(&quot;$&quot;* \(#,##0.00\);_(&quot;$&quot;* &quot;-&quot;??_);_(@_)">
                  <c:v>150</c:v>
                </c:pt>
                <c:pt idx="4" formatCode="_(&quot;$&quot;* #,##0.00_);_(&quot;$&quot;* \(#,##0.00\);_(&quot;$&quot;* &quot;-&quot;??_);_(@_)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E-45F2-97DE-709550A04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641984"/>
        <c:axId val="1276642944"/>
      </c:lineChart>
      <c:dateAx>
        <c:axId val="1276641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2944"/>
        <c:crosses val="autoZero"/>
        <c:auto val="0"/>
        <c:lblOffset val="100"/>
        <c:baseTimeUnit val="days"/>
      </c:dateAx>
      <c:valAx>
        <c:axId val="1276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4198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241904</xdr:colOff>
      <xdr:row>172</xdr:row>
      <xdr:rowOff>79827</xdr:rowOff>
    </xdr:from>
    <xdr:to>
      <xdr:col>53</xdr:col>
      <xdr:colOff>42937</xdr:colOff>
      <xdr:row>187</xdr:row>
      <xdr:rowOff>4837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F91C5E-8AEE-C263-3C85-496FF599E0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241904</xdr:colOff>
      <xdr:row>57</xdr:row>
      <xdr:rowOff>79827</xdr:rowOff>
    </xdr:from>
    <xdr:to>
      <xdr:col>53</xdr:col>
      <xdr:colOff>42937</xdr:colOff>
      <xdr:row>72</xdr:row>
      <xdr:rowOff>4837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A2C290-F702-4335-A45B-65CF1CD7C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241904</xdr:colOff>
      <xdr:row>19</xdr:row>
      <xdr:rowOff>79827</xdr:rowOff>
    </xdr:from>
    <xdr:to>
      <xdr:col>53</xdr:col>
      <xdr:colOff>42937</xdr:colOff>
      <xdr:row>34</xdr:row>
      <xdr:rowOff>4837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EF342B-C65E-4902-9E3E-50A260C09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241904</xdr:colOff>
      <xdr:row>95</xdr:row>
      <xdr:rowOff>79827</xdr:rowOff>
    </xdr:from>
    <xdr:to>
      <xdr:col>53</xdr:col>
      <xdr:colOff>42937</xdr:colOff>
      <xdr:row>110</xdr:row>
      <xdr:rowOff>4837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42BDDD3-1B1D-4910-BA6F-0EF4957CC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241904</xdr:colOff>
      <xdr:row>134</xdr:row>
      <xdr:rowOff>79827</xdr:rowOff>
    </xdr:from>
    <xdr:to>
      <xdr:col>53</xdr:col>
      <xdr:colOff>42937</xdr:colOff>
      <xdr:row>149</xdr:row>
      <xdr:rowOff>4837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73CDCB9-623C-4E92-80E5-B48447BBB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241904</xdr:colOff>
      <xdr:row>298</xdr:row>
      <xdr:rowOff>79827</xdr:rowOff>
    </xdr:from>
    <xdr:to>
      <xdr:col>53</xdr:col>
      <xdr:colOff>42937</xdr:colOff>
      <xdr:row>313</xdr:row>
      <xdr:rowOff>4837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488574F-B0C1-4085-B7FF-8775C9FC5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241904</xdr:colOff>
      <xdr:row>210</xdr:row>
      <xdr:rowOff>79827</xdr:rowOff>
    </xdr:from>
    <xdr:to>
      <xdr:col>53</xdr:col>
      <xdr:colOff>42937</xdr:colOff>
      <xdr:row>225</xdr:row>
      <xdr:rowOff>4837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EC271B-ED54-49CF-8353-A57C061B2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241904</xdr:colOff>
      <xdr:row>248</xdr:row>
      <xdr:rowOff>79827</xdr:rowOff>
    </xdr:from>
    <xdr:to>
      <xdr:col>53</xdr:col>
      <xdr:colOff>42937</xdr:colOff>
      <xdr:row>263</xdr:row>
      <xdr:rowOff>4837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2E1D4D-4723-4CF7-BDCE-1C3CAFD80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9BC24-4C9F-4C2B-A8A1-993C8B5DA384}">
  <sheetPr codeName="Sheet1"/>
  <dimension ref="A1:BG397"/>
  <sheetViews>
    <sheetView tabSelected="1" zoomScale="73" zoomScaleNormal="73" workbookViewId="0">
      <selection activeCell="H24" sqref="H24:H25"/>
    </sheetView>
  </sheetViews>
  <sheetFormatPr defaultRowHeight="14.4" x14ac:dyDescent="0.3"/>
  <cols>
    <col min="1" max="1" width="16" style="1" customWidth="1"/>
    <col min="2" max="2" width="25.33203125" style="1" customWidth="1"/>
    <col min="3" max="4" width="12" style="70" customWidth="1"/>
    <col min="5" max="5" width="11.109375" style="1" customWidth="1"/>
    <col min="6" max="6" width="10.6640625" style="2" customWidth="1"/>
    <col min="7" max="7" width="10.6640625" style="3" customWidth="1"/>
    <col min="8" max="8" width="11.6640625" style="1" customWidth="1"/>
    <col min="9" max="9" width="13.6640625" style="1" customWidth="1"/>
    <col min="10" max="10" width="12.6640625" style="1" customWidth="1"/>
    <col min="11" max="11" width="17.33203125" style="5" customWidth="1"/>
    <col min="12" max="12" width="8.6640625" style="5" customWidth="1"/>
    <col min="13" max="13" width="10.21875" style="5" customWidth="1"/>
    <col min="14" max="14" width="11.6640625" style="108" customWidth="1"/>
    <col min="15" max="15" width="16.21875" style="2" customWidth="1"/>
    <col min="16" max="16" width="9.6640625" style="470" customWidth="1"/>
    <col min="17" max="17" width="12.6640625" style="5" customWidth="1"/>
    <col min="18" max="18" width="14" style="483" customWidth="1"/>
    <col min="19" max="19" width="12.6640625" style="470" customWidth="1"/>
    <col min="20" max="20" width="21.6640625" style="483" customWidth="1"/>
    <col min="21" max="21" width="1.6640625" style="2" customWidth="1"/>
    <col min="22" max="22" width="13.33203125" style="5" customWidth="1"/>
    <col min="23" max="23" width="8.6640625" style="5" customWidth="1"/>
    <col min="24" max="24" width="9.88671875" style="5" customWidth="1"/>
    <col min="25" max="25" width="11.6640625" style="2" customWidth="1"/>
    <col min="26" max="26" width="12.6640625" style="2" customWidth="1"/>
    <col min="27" max="27" width="15.77734375" style="2" customWidth="1"/>
    <col min="28" max="28" width="29.77734375" style="21" customWidth="1"/>
    <col min="29" max="29" width="23.21875" style="21" customWidth="1"/>
    <col min="30" max="30" width="19.109375" style="21" customWidth="1"/>
    <col min="31" max="31" width="5.33203125" style="21" customWidth="1"/>
    <col min="32" max="32" width="18.44140625" style="470" customWidth="1"/>
    <col min="33" max="33" width="24.88671875" style="648" customWidth="1"/>
    <col min="34" max="34" width="2.77734375" style="4" customWidth="1"/>
    <col min="35" max="35" width="14.77734375" style="4" customWidth="1"/>
    <col min="36" max="36" width="10.33203125" style="1" customWidth="1"/>
    <col min="37" max="37" width="8.6640625" style="1" customWidth="1"/>
    <col min="38" max="38" width="12" style="1" customWidth="1"/>
    <col min="39" max="39" width="14.109375" style="1" customWidth="1"/>
    <col min="40" max="40" width="24.6640625" style="1" customWidth="1"/>
    <col min="41" max="41" width="3.88671875" style="23" customWidth="1"/>
    <col min="42" max="42" width="25.33203125" style="23" customWidth="1"/>
    <col min="43" max="43" width="3.21875" style="23" customWidth="1"/>
    <col min="45" max="45" width="14.88671875" bestFit="1" customWidth="1"/>
    <col min="47" max="47" width="12.33203125" style="20" customWidth="1"/>
    <col min="48" max="48" width="25.33203125" style="1" customWidth="1"/>
    <col min="49" max="49" width="12.6640625" customWidth="1"/>
    <col min="50" max="50" width="12" customWidth="1"/>
    <col min="51" max="51" width="10.5546875" customWidth="1"/>
    <col min="52" max="52" width="10.6640625" customWidth="1"/>
    <col min="53" max="53" width="23.44140625" customWidth="1"/>
    <col min="57" max="57" width="10.88671875" bestFit="1" customWidth="1"/>
    <col min="59" max="59" width="14.88671875" customWidth="1"/>
  </cols>
  <sheetData>
    <row r="1" spans="2:53" ht="18.600000000000001" thickBot="1" x14ac:dyDescent="0.35">
      <c r="C1" s="375"/>
      <c r="D1" s="375"/>
      <c r="AI1"/>
    </row>
    <row r="2" spans="2:53" ht="24.6" thickTop="1" thickBot="1" x14ac:dyDescent="0.5">
      <c r="F2" s="808" t="s">
        <v>192</v>
      </c>
      <c r="G2" s="809"/>
      <c r="H2" s="810"/>
      <c r="J2" s="824" t="s">
        <v>186</v>
      </c>
      <c r="K2" s="825"/>
      <c r="M2" s="217"/>
      <c r="N2" s="842" t="s">
        <v>258</v>
      </c>
      <c r="O2" s="843"/>
      <c r="P2" s="844"/>
    </row>
    <row r="3" spans="2:53" ht="15.6" thickTop="1" thickBot="1" x14ac:dyDescent="0.35">
      <c r="M3" s="217"/>
      <c r="AC3" s="548" t="s">
        <v>211</v>
      </c>
      <c r="AD3" s="548" t="s">
        <v>0</v>
      </c>
      <c r="AE3" s="355"/>
      <c r="AF3" s="536"/>
      <c r="AP3" s="353" t="s">
        <v>171</v>
      </c>
    </row>
    <row r="4" spans="2:53" ht="15.6" customHeight="1" thickTop="1" thickBot="1" x14ac:dyDescent="0.35">
      <c r="B4" s="18" t="s">
        <v>1</v>
      </c>
      <c r="C4" s="468">
        <f ca="1">TODAY()</f>
        <v>45702</v>
      </c>
      <c r="D4" s="468"/>
      <c r="F4" s="813" t="s">
        <v>197</v>
      </c>
      <c r="G4" s="814"/>
      <c r="H4" s="814"/>
      <c r="I4" s="814"/>
      <c r="J4" s="814"/>
      <c r="K4" s="814"/>
      <c r="L4" s="814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6"/>
      <c r="X4" s="849">
        <v>45652</v>
      </c>
      <c r="Y4" s="854"/>
      <c r="Z4" s="870" t="s">
        <v>5</v>
      </c>
      <c r="AA4" s="871"/>
      <c r="AB4" s="571">
        <f>K8</f>
        <v>45561</v>
      </c>
      <c r="AC4" s="549"/>
      <c r="AD4" s="549"/>
      <c r="AE4" s="813" t="s">
        <v>198</v>
      </c>
      <c r="AF4" s="814"/>
      <c r="AG4" s="814"/>
      <c r="AH4" s="852"/>
      <c r="AI4" s="849">
        <v>45652</v>
      </c>
      <c r="AJ4" s="850"/>
      <c r="AK4" s="845" t="s">
        <v>5</v>
      </c>
      <c r="AL4" s="846"/>
      <c r="AM4" s="846"/>
      <c r="AN4" s="569">
        <f>SUM(K9)</f>
        <v>45561</v>
      </c>
    </row>
    <row r="5" spans="2:53" ht="15.6" customHeight="1" thickBot="1" x14ac:dyDescent="0.35">
      <c r="F5" s="817"/>
      <c r="G5" s="818"/>
      <c r="H5" s="818"/>
      <c r="I5" s="818"/>
      <c r="J5" s="818"/>
      <c r="K5" s="818"/>
      <c r="L5" s="818"/>
      <c r="M5" s="819"/>
      <c r="N5" s="819"/>
      <c r="O5" s="819"/>
      <c r="P5" s="819"/>
      <c r="Q5" s="819"/>
      <c r="R5" s="819"/>
      <c r="S5" s="819"/>
      <c r="T5" s="819"/>
      <c r="U5" s="819"/>
      <c r="V5" s="819"/>
      <c r="W5" s="820"/>
      <c r="X5" s="855"/>
      <c r="Y5" s="855"/>
      <c r="Z5" s="856" t="s">
        <v>7</v>
      </c>
      <c r="AA5" s="857"/>
      <c r="AB5" s="572">
        <f ca="1">$C$4</f>
        <v>45702</v>
      </c>
      <c r="AE5" s="817"/>
      <c r="AF5" s="818"/>
      <c r="AG5" s="818"/>
      <c r="AH5" s="853"/>
      <c r="AI5" s="851"/>
      <c r="AJ5" s="851"/>
      <c r="AK5" s="847" t="s">
        <v>187</v>
      </c>
      <c r="AL5" s="848"/>
      <c r="AM5" s="848"/>
      <c r="AN5" s="570">
        <f>SUM(J9)</f>
        <v>45919</v>
      </c>
    </row>
    <row r="6" spans="2:53" ht="58.2" customHeight="1" thickTop="1" thickBot="1" x14ac:dyDescent="0.35">
      <c r="F6" s="833" t="s">
        <v>9</v>
      </c>
      <c r="G6" s="826" t="s">
        <v>10</v>
      </c>
      <c r="H6" s="826" t="s">
        <v>11</v>
      </c>
      <c r="I6" s="826" t="s">
        <v>12</v>
      </c>
      <c r="J6" s="826" t="s">
        <v>13</v>
      </c>
      <c r="K6" s="826" t="s">
        <v>14</v>
      </c>
      <c r="L6" s="826" t="s">
        <v>15</v>
      </c>
      <c r="M6" s="836" t="s">
        <v>16</v>
      </c>
      <c r="N6" s="623" t="s">
        <v>17</v>
      </c>
      <c r="O6" s="838" t="s">
        <v>203</v>
      </c>
      <c r="P6" s="803"/>
      <c r="Q6" s="828" t="s">
        <v>200</v>
      </c>
      <c r="R6" s="840" t="s">
        <v>201</v>
      </c>
      <c r="S6" s="864" t="s">
        <v>202</v>
      </c>
      <c r="T6" s="866" t="s">
        <v>204</v>
      </c>
      <c r="U6" s="625"/>
      <c r="V6" s="626" t="s">
        <v>205</v>
      </c>
      <c r="W6" s="868" t="s">
        <v>20</v>
      </c>
      <c r="X6" s="881" t="s">
        <v>16</v>
      </c>
      <c r="Y6" s="626" t="s">
        <v>207</v>
      </c>
      <c r="Z6" s="624" t="s">
        <v>209</v>
      </c>
      <c r="AA6" s="883" t="s">
        <v>23</v>
      </c>
      <c r="AB6" s="885" t="s">
        <v>24</v>
      </c>
      <c r="AE6" s="875"/>
      <c r="AF6" s="864" t="s">
        <v>213</v>
      </c>
      <c r="AG6" s="877" t="s">
        <v>212</v>
      </c>
      <c r="AH6" s="574"/>
      <c r="AI6" s="401" t="s">
        <v>25</v>
      </c>
      <c r="AJ6" s="887" t="s">
        <v>20</v>
      </c>
      <c r="AK6" s="886" t="s">
        <v>16</v>
      </c>
      <c r="AL6" s="401" t="s">
        <v>26</v>
      </c>
      <c r="AM6" s="401" t="s">
        <v>27</v>
      </c>
      <c r="AN6" s="879" t="s">
        <v>28</v>
      </c>
      <c r="AO6" s="888"/>
      <c r="AP6" s="573"/>
      <c r="AQ6" s="403"/>
    </row>
    <row r="7" spans="2:53" ht="58.2" customHeight="1" thickTop="1" thickBot="1" x14ac:dyDescent="0.35">
      <c r="B7" s="89" t="s">
        <v>29</v>
      </c>
      <c r="C7" s="687" t="s">
        <v>222</v>
      </c>
      <c r="D7" s="688">
        <f>_xll.EPF.Yahoo.Price("f")</f>
        <v>9.4450000000000003</v>
      </c>
      <c r="F7" s="834"/>
      <c r="G7" s="835"/>
      <c r="H7" s="827"/>
      <c r="I7" s="835"/>
      <c r="J7" s="835"/>
      <c r="K7" s="835"/>
      <c r="L7" s="835"/>
      <c r="M7" s="837"/>
      <c r="N7" s="575" t="s">
        <v>30</v>
      </c>
      <c r="O7" s="839"/>
      <c r="P7" s="804"/>
      <c r="Q7" s="829"/>
      <c r="R7" s="841"/>
      <c r="S7" s="865"/>
      <c r="T7" s="867"/>
      <c r="U7" s="576"/>
      <c r="V7" s="577" t="s">
        <v>206</v>
      </c>
      <c r="W7" s="869"/>
      <c r="X7" s="882"/>
      <c r="Y7" s="578" t="s">
        <v>208</v>
      </c>
      <c r="Z7" s="120" t="s">
        <v>210</v>
      </c>
      <c r="AA7" s="884"/>
      <c r="AB7" s="880"/>
      <c r="AE7" s="876"/>
      <c r="AF7" s="865"/>
      <c r="AG7" s="878"/>
      <c r="AH7" s="576"/>
      <c r="AI7" s="261" t="s">
        <v>34</v>
      </c>
      <c r="AJ7" s="869"/>
      <c r="AK7" s="882"/>
      <c r="AL7" s="577" t="s">
        <v>32</v>
      </c>
      <c r="AM7" s="120" t="s">
        <v>33</v>
      </c>
      <c r="AN7" s="880"/>
      <c r="AO7" s="888"/>
      <c r="AP7" s="573"/>
      <c r="AQ7" s="403"/>
      <c r="AR7" s="889" t="s">
        <v>223</v>
      </c>
      <c r="AS7" s="890"/>
      <c r="AT7" s="891"/>
      <c r="AU7" s="367" t="s">
        <v>35</v>
      </c>
      <c r="AV7" s="400" t="s">
        <v>36</v>
      </c>
      <c r="AW7" s="400" t="s">
        <v>37</v>
      </c>
      <c r="AX7" s="400" t="s">
        <v>38</v>
      </c>
      <c r="AY7" s="400" t="s">
        <v>39</v>
      </c>
      <c r="AZ7" s="400" t="s">
        <v>40</v>
      </c>
      <c r="BA7" s="218" t="s">
        <v>41</v>
      </c>
    </row>
    <row r="8" spans="2:53" ht="15" customHeight="1" thickTop="1" x14ac:dyDescent="0.3">
      <c r="B8" s="87" t="s">
        <v>199</v>
      </c>
      <c r="C8" s="376">
        <f>_xll.EPF.Yahoo.Price("f")</f>
        <v>9.4450000000000003</v>
      </c>
      <c r="D8" s="376"/>
      <c r="F8" s="579" t="s">
        <v>180</v>
      </c>
      <c r="G8" s="580" t="s">
        <v>44</v>
      </c>
      <c r="H8" s="684"/>
      <c r="I8" s="581" t="s">
        <v>46</v>
      </c>
      <c r="J8" s="580" t="s">
        <v>46</v>
      </c>
      <c r="K8" s="582">
        <v>45561</v>
      </c>
      <c r="L8" s="580" t="s">
        <v>47</v>
      </c>
      <c r="M8" s="583">
        <v>1000</v>
      </c>
      <c r="N8" s="584">
        <v>10.345000000000001</v>
      </c>
      <c r="O8" s="124">
        <f>IF(L8="Buy",M8*N8*-1,M8*N8)</f>
        <v>-10345</v>
      </c>
      <c r="P8" s="645"/>
      <c r="Q8" s="104">
        <f t="shared" ref="Q8:Q10" si="0">PRODUCT(O8,-1)</f>
        <v>10345</v>
      </c>
      <c r="R8" s="530">
        <f>Q8</f>
        <v>10345</v>
      </c>
      <c r="S8" s="531">
        <f t="shared" ref="S8:S9" si="1">_xlfn.DAYS(K9,K8)</f>
        <v>0</v>
      </c>
      <c r="T8" s="530">
        <f t="shared" ref="T8:T18" si="2">PRODUCT(R8,S8)</f>
        <v>0</v>
      </c>
      <c r="U8" s="585"/>
      <c r="V8" s="125">
        <f ca="1">$C$4</f>
        <v>45702</v>
      </c>
      <c r="W8" s="125" t="str">
        <f t="shared" ref="W8:W10" si="3">IF(L8="Buy","Sell","Buy")</f>
        <v>Sell</v>
      </c>
      <c r="X8" s="126">
        <f t="shared" ref="X8:X10" si="4">SUM(M8)</f>
        <v>1000</v>
      </c>
      <c r="Y8" s="197">
        <f>SUM(C8)</f>
        <v>9.4450000000000003</v>
      </c>
      <c r="Z8" s="104">
        <f>IF(W8="Buy",X8*Y8*-1,X8*Y8)</f>
        <v>9445</v>
      </c>
      <c r="AA8" s="137"/>
      <c r="AB8" s="138">
        <f t="shared" ref="AB8:AB10" si="5">SUM(O8,Z8)</f>
        <v>-900</v>
      </c>
      <c r="AE8" s="600"/>
      <c r="AF8" s="531">
        <f t="shared" ref="AF8:AF10" si="6">S8</f>
        <v>0</v>
      </c>
      <c r="AG8" s="649">
        <f t="shared" ref="AG8:AG10" si="7">PRODUCT(R8,AF8)</f>
        <v>0</v>
      </c>
      <c r="AH8" s="606"/>
      <c r="AI8" s="125">
        <v>45919</v>
      </c>
      <c r="AJ8" s="125" t="str">
        <f>IF(L8="Buy","Sell","Buy")</f>
        <v>Sell</v>
      </c>
      <c r="AK8" s="195">
        <f>SUM(M8)</f>
        <v>1000</v>
      </c>
      <c r="AL8" s="200">
        <f>$C$8</f>
        <v>9.4450000000000003</v>
      </c>
      <c r="AM8" s="104">
        <f>IF(AJ8="Buy",AK8*AL8*-1,AK8*AL8)</f>
        <v>9445</v>
      </c>
      <c r="AN8" s="138">
        <f t="shared" ref="AN8:AN10" si="8">SUM(O8,AM8)</f>
        <v>-900</v>
      </c>
      <c r="AO8" s="58"/>
      <c r="AP8" s="58"/>
      <c r="AQ8" s="58"/>
      <c r="AR8" s="368" t="s">
        <v>5</v>
      </c>
      <c r="AS8" s="369"/>
      <c r="AT8" s="369"/>
      <c r="AU8" s="214">
        <f>SUM(AB4)</f>
        <v>45561</v>
      </c>
      <c r="AV8" s="858"/>
      <c r="AW8" s="213"/>
      <c r="AX8" s="861">
        <f ca="1">SUM(AW10,-AW9)</f>
        <v>724.99999999999966</v>
      </c>
      <c r="AY8" s="219"/>
      <c r="AZ8" s="872">
        <f ca="1">SUM(AY10,-1*AY9)</f>
        <v>217</v>
      </c>
      <c r="BA8" s="911">
        <f ca="1">PRODUCT(30,1/AZ8,AX8)</f>
        <v>100.23041474654374</v>
      </c>
    </row>
    <row r="9" spans="2:53" ht="15" customHeight="1" x14ac:dyDescent="0.3">
      <c r="B9" s="88" t="s">
        <v>188</v>
      </c>
      <c r="C9" s="79">
        <f>_xll.EPF.Yahoo.Price("F250919P00010000")</f>
        <v>1.35</v>
      </c>
      <c r="D9" s="79"/>
      <c r="F9" s="579" t="s">
        <v>180</v>
      </c>
      <c r="G9" s="586" t="s">
        <v>49</v>
      </c>
      <c r="H9" s="601"/>
      <c r="I9" s="587">
        <v>10</v>
      </c>
      <c r="J9" s="582">
        <v>45919</v>
      </c>
      <c r="K9" s="582">
        <v>45561</v>
      </c>
      <c r="L9" s="588" t="s">
        <v>47</v>
      </c>
      <c r="M9" s="589">
        <v>8</v>
      </c>
      <c r="N9" s="590">
        <v>1.25</v>
      </c>
      <c r="O9" s="100">
        <f t="shared" ref="O9:O10" si="9">IF(L9="Buy",M9*N9*-1*100,M9*N9*100)</f>
        <v>-1000</v>
      </c>
      <c r="P9" s="131"/>
      <c r="Q9" s="104">
        <f t="shared" si="0"/>
        <v>1000</v>
      </c>
      <c r="R9" s="490">
        <f t="shared" ref="R9:R10" si="10">SUM(R8,Q9)</f>
        <v>11345</v>
      </c>
      <c r="S9" s="531">
        <f t="shared" si="1"/>
        <v>0</v>
      </c>
      <c r="T9" s="530">
        <f t="shared" si="2"/>
        <v>0</v>
      </c>
      <c r="U9" s="311"/>
      <c r="V9" s="125">
        <f ca="1">$C$4</f>
        <v>45702</v>
      </c>
      <c r="W9" s="125" t="str">
        <f t="shared" si="3"/>
        <v>Sell</v>
      </c>
      <c r="X9" s="126">
        <f t="shared" si="4"/>
        <v>8</v>
      </c>
      <c r="Y9" s="197">
        <f>SUM(C9)</f>
        <v>1.35</v>
      </c>
      <c r="Z9" s="103">
        <f t="shared" ref="Z9" si="11">IF(W9="Buy",X9*Y9*-1*100,X9*Y9*100)</f>
        <v>1080</v>
      </c>
      <c r="AA9" s="137"/>
      <c r="AB9" s="138">
        <f t="shared" si="5"/>
        <v>80</v>
      </c>
      <c r="AE9" s="600"/>
      <c r="AF9" s="531">
        <f t="shared" si="6"/>
        <v>0</v>
      </c>
      <c r="AG9" s="649">
        <f t="shared" si="7"/>
        <v>0</v>
      </c>
      <c r="AH9" s="134"/>
      <c r="AI9" s="125">
        <v>45919</v>
      </c>
      <c r="AJ9" s="125" t="str">
        <f>IF(L9="Buy","Sell","Buy")</f>
        <v>Sell</v>
      </c>
      <c r="AK9" s="195">
        <f>SUM(M9)</f>
        <v>8</v>
      </c>
      <c r="AL9" s="197">
        <f>IF(I9-$C$8&lt;0,0,I9-$C$8)</f>
        <v>0.55499999999999972</v>
      </c>
      <c r="AM9" s="104">
        <f t="shared" ref="AM9:AM10" si="12">IF(AJ9="Buy",AK9*AL9*-1*100,AK9*AL9*100)</f>
        <v>443.99999999999977</v>
      </c>
      <c r="AN9" s="138">
        <f t="shared" si="8"/>
        <v>-556.00000000000023</v>
      </c>
      <c r="AO9" s="58"/>
      <c r="AP9" s="58"/>
      <c r="AQ9" s="58"/>
      <c r="AR9" s="212" t="s">
        <v>7</v>
      </c>
      <c r="AS9" s="213"/>
      <c r="AT9" s="213"/>
      <c r="AU9" s="214">
        <f ca="1">SUM(AB5)</f>
        <v>45702</v>
      </c>
      <c r="AV9" s="859"/>
      <c r="AW9" s="220">
        <f>SUM(AB35)</f>
        <v>450.00000000000034</v>
      </c>
      <c r="AX9" s="862"/>
      <c r="AY9" s="195">
        <f ca="1">SUM(AB36)</f>
        <v>141</v>
      </c>
      <c r="AZ9" s="873"/>
      <c r="BA9" s="912"/>
    </row>
    <row r="10" spans="2:53" ht="15" customHeight="1" thickBot="1" x14ac:dyDescent="0.35">
      <c r="B10" s="304" t="s">
        <v>188</v>
      </c>
      <c r="C10" s="378" t="s">
        <v>61</v>
      </c>
      <c r="D10" s="378"/>
      <c r="F10" s="591" t="s">
        <v>180</v>
      </c>
      <c r="G10" s="592" t="s">
        <v>49</v>
      </c>
      <c r="H10" s="601"/>
      <c r="I10" s="593">
        <v>10</v>
      </c>
      <c r="J10" s="424">
        <v>45919</v>
      </c>
      <c r="K10" s="424">
        <v>45561</v>
      </c>
      <c r="L10" s="594" t="s">
        <v>47</v>
      </c>
      <c r="M10" s="595">
        <v>2</v>
      </c>
      <c r="N10" s="596">
        <v>1.25</v>
      </c>
      <c r="O10" s="102">
        <f t="shared" si="9"/>
        <v>-250</v>
      </c>
      <c r="P10" s="131"/>
      <c r="Q10" s="637">
        <f t="shared" si="0"/>
        <v>250</v>
      </c>
      <c r="R10" s="490">
        <f t="shared" si="10"/>
        <v>11595</v>
      </c>
      <c r="S10" s="531">
        <f t="shared" ref="S10:S17" si="13">_xlfn.DAYS(K11,K10)</f>
        <v>0</v>
      </c>
      <c r="T10" s="530">
        <f t="shared" si="2"/>
        <v>0</v>
      </c>
      <c r="U10" s="130"/>
      <c r="V10" s="424">
        <v>45607</v>
      </c>
      <c r="W10" s="127" t="str">
        <f t="shared" si="3"/>
        <v>Sell</v>
      </c>
      <c r="X10" s="128">
        <f t="shared" si="4"/>
        <v>2</v>
      </c>
      <c r="Y10" s="394">
        <v>0.76</v>
      </c>
      <c r="Z10" s="105">
        <f t="shared" ref="Z10" si="14">IF(W10="Buy",X10*Y10*-1*100,X10*Y10*100)</f>
        <v>152</v>
      </c>
      <c r="AA10" s="137"/>
      <c r="AB10" s="139">
        <f t="shared" si="5"/>
        <v>-98</v>
      </c>
      <c r="AE10" s="600"/>
      <c r="AF10" s="531">
        <f t="shared" si="6"/>
        <v>0</v>
      </c>
      <c r="AG10" s="649">
        <f t="shared" si="7"/>
        <v>0</v>
      </c>
      <c r="AH10" s="134"/>
      <c r="AI10" s="424">
        <v>45607</v>
      </c>
      <c r="AJ10" s="127" t="s">
        <v>63</v>
      </c>
      <c r="AK10" s="201">
        <v>2</v>
      </c>
      <c r="AL10" s="394">
        <v>0.76</v>
      </c>
      <c r="AM10" s="105">
        <f t="shared" si="12"/>
        <v>152</v>
      </c>
      <c r="AN10" s="139">
        <f t="shared" si="8"/>
        <v>-98</v>
      </c>
      <c r="AO10" s="58"/>
      <c r="AP10" s="58"/>
      <c r="AQ10" s="58"/>
      <c r="AR10" s="215" t="s">
        <v>50</v>
      </c>
      <c r="AS10" s="216"/>
      <c r="AT10" s="216"/>
      <c r="AU10" s="214">
        <f>SUM(AN5)</f>
        <v>45919</v>
      </c>
      <c r="AV10" s="860"/>
      <c r="AW10" s="221">
        <f ca="1">SUM(AN35)</f>
        <v>1175</v>
      </c>
      <c r="AX10" s="863"/>
      <c r="AY10" s="222">
        <f>SUM(AN36)</f>
        <v>358</v>
      </c>
      <c r="AZ10" s="874"/>
      <c r="BA10" s="913"/>
    </row>
    <row r="11" spans="2:53" ht="15" customHeight="1" x14ac:dyDescent="0.3">
      <c r="B11" s="65" t="s">
        <v>60</v>
      </c>
      <c r="C11" s="378" t="s">
        <v>61</v>
      </c>
      <c r="D11" s="378"/>
      <c r="F11" s="591" t="s">
        <v>180</v>
      </c>
      <c r="G11" s="592" t="s">
        <v>62</v>
      </c>
      <c r="H11" s="601"/>
      <c r="I11" s="593">
        <v>10</v>
      </c>
      <c r="J11" s="424">
        <v>45590</v>
      </c>
      <c r="K11" s="424">
        <v>45561</v>
      </c>
      <c r="L11" s="594" t="s">
        <v>63</v>
      </c>
      <c r="M11" s="595">
        <v>10</v>
      </c>
      <c r="N11" s="596">
        <v>0.59</v>
      </c>
      <c r="O11" s="102">
        <f t="shared" ref="O11:O18" si="15">IF(L11="Buy",M11*N11*-1*100,M11*N11*100)</f>
        <v>590</v>
      </c>
      <c r="P11" s="131"/>
      <c r="Q11" s="637">
        <f>PRODUCT(O11,-1)</f>
        <v>-590</v>
      </c>
      <c r="R11" s="490">
        <f>SUM(R10,Q11)</f>
        <v>11005</v>
      </c>
      <c r="S11" s="531">
        <f t="shared" si="13"/>
        <v>20</v>
      </c>
      <c r="T11" s="530">
        <f t="shared" si="2"/>
        <v>220100</v>
      </c>
      <c r="U11" s="276"/>
      <c r="V11" s="424">
        <v>45581</v>
      </c>
      <c r="W11" s="127" t="str">
        <f>IF(L11="Buy","Sell","Buy")</f>
        <v>Buy</v>
      </c>
      <c r="X11" s="128">
        <f>SUM(M11)</f>
        <v>10</v>
      </c>
      <c r="Y11" s="394">
        <v>1.19</v>
      </c>
      <c r="Z11" s="105">
        <f t="shared" ref="Z11:Z18" si="16">IF(W11="Buy",X11*Y11*-1*100,X11*Y11*100)</f>
        <v>-1189.9999999999998</v>
      </c>
      <c r="AA11" s="137"/>
      <c r="AB11" s="139">
        <f>SUM(O11,Z11)</f>
        <v>-599.99999999999977</v>
      </c>
      <c r="AE11" s="600"/>
      <c r="AF11" s="531">
        <f>S11</f>
        <v>20</v>
      </c>
      <c r="AG11" s="649">
        <f>PRODUCT(R11,AF11)</f>
        <v>220100</v>
      </c>
      <c r="AH11" s="134"/>
      <c r="AI11" s="424">
        <v>45581</v>
      </c>
      <c r="AJ11" s="127" t="str">
        <f t="shared" ref="AJ11:AJ18" si="17">IF(L11="Buy","Sell","Buy")</f>
        <v>Buy</v>
      </c>
      <c r="AK11" s="201">
        <f t="shared" ref="AK11:AK18" si="18">SUM(M11)</f>
        <v>10</v>
      </c>
      <c r="AL11" s="394">
        <v>1.19</v>
      </c>
      <c r="AM11" s="105">
        <f t="shared" ref="AM11:AM18" si="19">IF(AJ11="Buy",AK11*AL11*-1*100,AK11*AL11*100)</f>
        <v>-1189.9999999999998</v>
      </c>
      <c r="AN11" s="139">
        <f t="shared" ref="AN11:AN18" si="20">SUM(O11,AM11)</f>
        <v>-599.99999999999977</v>
      </c>
      <c r="AO11" s="58"/>
      <c r="AP11" s="58"/>
      <c r="AQ11" s="58"/>
      <c r="AR11" s="299"/>
      <c r="AS11" s="299"/>
      <c r="AT11" s="299"/>
      <c r="AU11" s="300"/>
      <c r="AV11" s="691"/>
      <c r="AW11" s="692"/>
      <c r="AX11" s="693"/>
      <c r="AY11" s="694"/>
      <c r="AZ11" s="695"/>
      <c r="BA11" s="416"/>
    </row>
    <row r="12" spans="2:53" ht="15" customHeight="1" x14ac:dyDescent="0.3">
      <c r="B12" s="66" t="s">
        <v>65</v>
      </c>
      <c r="C12" s="378" t="s">
        <v>61</v>
      </c>
      <c r="D12" s="378"/>
      <c r="F12" s="598" t="s">
        <v>180</v>
      </c>
      <c r="G12" s="592" t="s">
        <v>62</v>
      </c>
      <c r="H12" s="601"/>
      <c r="I12" s="593">
        <v>11</v>
      </c>
      <c r="J12" s="424">
        <v>45611</v>
      </c>
      <c r="K12" s="424">
        <v>45581</v>
      </c>
      <c r="L12" s="594" t="s">
        <v>63</v>
      </c>
      <c r="M12" s="594">
        <v>10</v>
      </c>
      <c r="N12" s="596">
        <v>0.6</v>
      </c>
      <c r="O12" s="102">
        <f t="shared" si="15"/>
        <v>600</v>
      </c>
      <c r="P12" s="131"/>
      <c r="Q12" s="637">
        <f t="shared" ref="Q12:Q14" si="21">PRODUCT(O12,-1)</f>
        <v>-600</v>
      </c>
      <c r="R12" s="490">
        <f>SUM(R11,Q12)</f>
        <v>10405</v>
      </c>
      <c r="S12" s="531">
        <f t="shared" si="13"/>
        <v>30</v>
      </c>
      <c r="T12" s="530">
        <f t="shared" si="2"/>
        <v>312150</v>
      </c>
      <c r="U12" s="136"/>
      <c r="V12" s="424">
        <v>45611</v>
      </c>
      <c r="W12" s="127" t="str">
        <f>IF(L12="Buy","Sell","Buy")</f>
        <v>Buy</v>
      </c>
      <c r="X12" s="128">
        <f>SUM(M12)</f>
        <v>10</v>
      </c>
      <c r="Y12" s="394">
        <v>0.09</v>
      </c>
      <c r="Z12" s="105">
        <f t="shared" si="16"/>
        <v>-89.999999999999986</v>
      </c>
      <c r="AA12" s="137"/>
      <c r="AB12" s="139">
        <f t="shared" ref="AB12:AB14" si="22">SUM(O12,Z12)</f>
        <v>510</v>
      </c>
      <c r="AE12" s="600"/>
      <c r="AF12" s="531">
        <f t="shared" ref="AF12:AF14" si="23">S12</f>
        <v>30</v>
      </c>
      <c r="AG12" s="649">
        <f t="shared" ref="AG12:AG14" si="24">PRODUCT(R12,AF12)</f>
        <v>312150</v>
      </c>
      <c r="AH12" s="134"/>
      <c r="AI12" s="424">
        <v>45611</v>
      </c>
      <c r="AJ12" s="127" t="str">
        <f t="shared" si="17"/>
        <v>Buy</v>
      </c>
      <c r="AK12" s="201">
        <f t="shared" si="18"/>
        <v>10</v>
      </c>
      <c r="AL12" s="394">
        <v>0.09</v>
      </c>
      <c r="AM12" s="105">
        <f t="shared" si="19"/>
        <v>-89.999999999999986</v>
      </c>
      <c r="AN12" s="139">
        <f t="shared" si="20"/>
        <v>510</v>
      </c>
      <c r="AO12" s="58"/>
      <c r="AP12" s="58"/>
      <c r="AQ12" s="58"/>
      <c r="AR12" s="298" t="s">
        <v>52</v>
      </c>
      <c r="AS12" s="295"/>
      <c r="AT12" s="295"/>
      <c r="AU12" s="295"/>
      <c r="AV12" s="295"/>
    </row>
    <row r="13" spans="2:53" ht="15" customHeight="1" x14ac:dyDescent="0.3">
      <c r="B13" s="88" t="s">
        <v>188</v>
      </c>
      <c r="C13" s="79">
        <f>_xll.EPF.Yahoo.Price("F250919P00010000")</f>
        <v>1.35</v>
      </c>
      <c r="D13" s="79"/>
      <c r="F13" s="579" t="s">
        <v>180</v>
      </c>
      <c r="G13" s="586" t="s">
        <v>49</v>
      </c>
      <c r="H13" s="601"/>
      <c r="I13" s="587">
        <v>10</v>
      </c>
      <c r="J13" s="582">
        <v>45919</v>
      </c>
      <c r="K13" s="582">
        <v>45611</v>
      </c>
      <c r="L13" s="588" t="s">
        <v>47</v>
      </c>
      <c r="M13" s="589">
        <v>2</v>
      </c>
      <c r="N13" s="590">
        <v>0.86</v>
      </c>
      <c r="O13" s="100">
        <f t="shared" si="15"/>
        <v>-172</v>
      </c>
      <c r="P13" s="131"/>
      <c r="Q13" s="104">
        <f t="shared" si="21"/>
        <v>172</v>
      </c>
      <c r="R13" s="490">
        <f t="shared" ref="R13:R18" si="25">SUM(R12,Q13)</f>
        <v>10577</v>
      </c>
      <c r="S13" s="531">
        <f t="shared" si="13"/>
        <v>0</v>
      </c>
      <c r="T13" s="530">
        <f t="shared" si="2"/>
        <v>0</v>
      </c>
      <c r="U13" s="130"/>
      <c r="V13" s="125">
        <f ca="1">$C$4</f>
        <v>45702</v>
      </c>
      <c r="W13" s="125" t="str">
        <f>IF(L13="Buy","Sell","Buy")</f>
        <v>Sell</v>
      </c>
      <c r="X13" s="126">
        <f>SUM(M13)</f>
        <v>2</v>
      </c>
      <c r="Y13" s="197">
        <f>SUM(C13)</f>
        <v>1.35</v>
      </c>
      <c r="Z13" s="103">
        <f t="shared" si="16"/>
        <v>270</v>
      </c>
      <c r="AA13" s="137"/>
      <c r="AB13" s="138">
        <f t="shared" si="22"/>
        <v>98</v>
      </c>
      <c r="AC13" s="700"/>
      <c r="AE13" s="600"/>
      <c r="AF13" s="531">
        <f t="shared" si="23"/>
        <v>0</v>
      </c>
      <c r="AG13" s="649">
        <f t="shared" si="24"/>
        <v>0</v>
      </c>
      <c r="AH13" s="134"/>
      <c r="AI13" s="125">
        <v>45919</v>
      </c>
      <c r="AJ13" s="125" t="str">
        <f t="shared" si="17"/>
        <v>Sell</v>
      </c>
      <c r="AK13" s="195">
        <f t="shared" si="18"/>
        <v>2</v>
      </c>
      <c r="AL13" s="197">
        <f>IF(I13-$C$8&lt;0,0,I13-$C$8)</f>
        <v>0.55499999999999972</v>
      </c>
      <c r="AM13" s="104">
        <f t="shared" si="19"/>
        <v>110.99999999999994</v>
      </c>
      <c r="AN13" s="138">
        <f t="shared" si="20"/>
        <v>-61.000000000000057</v>
      </c>
      <c r="AO13" s="58"/>
      <c r="AP13" s="58"/>
      <c r="AR13" s="284" t="s">
        <v>53</v>
      </c>
      <c r="AS13" s="284"/>
      <c r="AT13" s="284"/>
      <c r="AU13" s="302"/>
      <c r="AV13" s="289">
        <f>SUM(AU8)</f>
        <v>45561</v>
      </c>
    </row>
    <row r="14" spans="2:53" ht="15" customHeight="1" x14ac:dyDescent="0.3">
      <c r="B14" s="66" t="s">
        <v>67</v>
      </c>
      <c r="C14" s="378" t="s">
        <v>61</v>
      </c>
      <c r="D14" s="378"/>
      <c r="F14" s="598" t="s">
        <v>180</v>
      </c>
      <c r="G14" s="592" t="s">
        <v>62</v>
      </c>
      <c r="H14" s="601"/>
      <c r="I14" s="593">
        <v>11</v>
      </c>
      <c r="J14" s="424">
        <v>45639</v>
      </c>
      <c r="K14" s="424">
        <v>45611</v>
      </c>
      <c r="L14" s="594" t="s">
        <v>63</v>
      </c>
      <c r="M14" s="594">
        <v>10</v>
      </c>
      <c r="N14" s="596">
        <v>0.37</v>
      </c>
      <c r="O14" s="102">
        <f t="shared" si="15"/>
        <v>370</v>
      </c>
      <c r="P14" s="131"/>
      <c r="Q14" s="637">
        <f t="shared" si="21"/>
        <v>-370</v>
      </c>
      <c r="R14" s="490">
        <f t="shared" si="25"/>
        <v>10207</v>
      </c>
      <c r="S14" s="531">
        <f t="shared" si="13"/>
        <v>25</v>
      </c>
      <c r="T14" s="530">
        <f t="shared" si="2"/>
        <v>255175</v>
      </c>
      <c r="U14" s="136"/>
      <c r="V14" s="424">
        <v>45636</v>
      </c>
      <c r="W14" s="127" t="str">
        <f>IF(L14="Buy","Sell","Buy")</f>
        <v>Buy</v>
      </c>
      <c r="X14" s="128">
        <f>SUM(M14)</f>
        <v>10</v>
      </c>
      <c r="Y14" s="394">
        <v>0.02</v>
      </c>
      <c r="Z14" s="105">
        <f t="shared" si="16"/>
        <v>-20</v>
      </c>
      <c r="AA14" s="137"/>
      <c r="AB14" s="139">
        <f t="shared" si="22"/>
        <v>350</v>
      </c>
      <c r="AE14" s="600"/>
      <c r="AF14" s="531">
        <f t="shared" si="23"/>
        <v>25</v>
      </c>
      <c r="AG14" s="649">
        <f t="shared" si="24"/>
        <v>255175</v>
      </c>
      <c r="AH14" s="134"/>
      <c r="AI14" s="424">
        <f>SUM(V14)</f>
        <v>45636</v>
      </c>
      <c r="AJ14" s="127" t="str">
        <f t="shared" si="17"/>
        <v>Buy</v>
      </c>
      <c r="AK14" s="201">
        <f t="shared" si="18"/>
        <v>10</v>
      </c>
      <c r="AL14" s="394">
        <v>0.02</v>
      </c>
      <c r="AM14" s="105">
        <f t="shared" si="19"/>
        <v>-20</v>
      </c>
      <c r="AN14" s="139">
        <f t="shared" si="20"/>
        <v>350</v>
      </c>
      <c r="AO14" s="58"/>
      <c r="AP14" s="58"/>
      <c r="AQ14" s="58"/>
      <c r="AR14" s="284" t="s">
        <v>55</v>
      </c>
      <c r="AS14" s="284"/>
      <c r="AT14" s="284"/>
      <c r="AU14" s="302"/>
      <c r="AV14" s="289">
        <f>SUM(AU10)</f>
        <v>45919</v>
      </c>
    </row>
    <row r="15" spans="2:53" ht="15" customHeight="1" x14ac:dyDescent="0.3">
      <c r="B15" s="66" t="s">
        <v>69</v>
      </c>
      <c r="C15" s="378" t="s">
        <v>61</v>
      </c>
      <c r="D15" s="378"/>
      <c r="F15" s="598" t="s">
        <v>180</v>
      </c>
      <c r="G15" s="592" t="s">
        <v>62</v>
      </c>
      <c r="H15" s="601"/>
      <c r="I15" s="593">
        <v>10.5</v>
      </c>
      <c r="J15" s="424">
        <v>45667</v>
      </c>
      <c r="K15" s="424">
        <v>45636</v>
      </c>
      <c r="L15" s="594" t="s">
        <v>63</v>
      </c>
      <c r="M15" s="594">
        <v>10</v>
      </c>
      <c r="N15" s="596">
        <v>0.43</v>
      </c>
      <c r="O15" s="102">
        <f t="shared" si="15"/>
        <v>430</v>
      </c>
      <c r="P15" s="131"/>
      <c r="Q15" s="637">
        <f>PRODUCT(O15,-1)</f>
        <v>-430</v>
      </c>
      <c r="R15" s="490">
        <f t="shared" si="25"/>
        <v>9777</v>
      </c>
      <c r="S15" s="531">
        <f t="shared" si="13"/>
        <v>13</v>
      </c>
      <c r="T15" s="530">
        <f t="shared" si="2"/>
        <v>127101</v>
      </c>
      <c r="U15" s="136"/>
      <c r="V15" s="424">
        <v>45652</v>
      </c>
      <c r="W15" s="127" t="str">
        <f>IF(L15="Buy","Sell","Buy")</f>
        <v>Buy</v>
      </c>
      <c r="X15" s="128">
        <f>SUM(M15)</f>
        <v>10</v>
      </c>
      <c r="Y15" s="394">
        <v>0.06</v>
      </c>
      <c r="Z15" s="105">
        <f t="shared" si="16"/>
        <v>-60</v>
      </c>
      <c r="AA15" s="137"/>
      <c r="AB15" s="139">
        <f>SUM(O15,Z15)</f>
        <v>370</v>
      </c>
      <c r="AC15" s="37"/>
      <c r="AD15" s="37"/>
      <c r="AE15" s="600"/>
      <c r="AF15" s="531">
        <f>S15</f>
        <v>13</v>
      </c>
      <c r="AG15" s="649">
        <f>PRODUCT(R15,AF15)</f>
        <v>127101</v>
      </c>
      <c r="AH15" s="134"/>
      <c r="AI15" s="127">
        <f>SUM(V15)</f>
        <v>45652</v>
      </c>
      <c r="AJ15" s="127" t="str">
        <f t="shared" si="17"/>
        <v>Buy</v>
      </c>
      <c r="AK15" s="201">
        <f t="shared" si="18"/>
        <v>10</v>
      </c>
      <c r="AL15" s="394">
        <v>0.06</v>
      </c>
      <c r="AM15" s="105">
        <f t="shared" si="19"/>
        <v>-60</v>
      </c>
      <c r="AN15" s="139">
        <f t="shared" si="20"/>
        <v>370</v>
      </c>
      <c r="AO15" s="58"/>
      <c r="AP15" s="58"/>
      <c r="AQ15" s="58"/>
      <c r="AR15" s="737" t="s">
        <v>56</v>
      </c>
      <c r="AS15" s="737"/>
      <c r="AT15" s="737"/>
      <c r="AU15" s="738"/>
      <c r="AV15" s="292">
        <v>45606</v>
      </c>
    </row>
    <row r="16" spans="2:53" ht="15" customHeight="1" x14ac:dyDescent="0.3">
      <c r="B16" s="304" t="s">
        <v>190</v>
      </c>
      <c r="C16" s="378" t="s">
        <v>61</v>
      </c>
      <c r="D16" s="378"/>
      <c r="F16" s="598" t="s">
        <v>180</v>
      </c>
      <c r="G16" s="592" t="s">
        <v>62</v>
      </c>
      <c r="H16" s="601"/>
      <c r="I16" s="593">
        <v>10</v>
      </c>
      <c r="J16" s="424">
        <v>45681</v>
      </c>
      <c r="K16" s="424">
        <v>45649</v>
      </c>
      <c r="L16" s="594" t="s">
        <v>63</v>
      </c>
      <c r="M16" s="594">
        <v>10</v>
      </c>
      <c r="N16" s="596">
        <v>0.28000000000000003</v>
      </c>
      <c r="O16" s="102">
        <f t="shared" si="15"/>
        <v>280</v>
      </c>
      <c r="P16" s="131"/>
      <c r="Q16" s="637">
        <f>PRODUCT(O16,-1)</f>
        <v>-280</v>
      </c>
      <c r="R16" s="490">
        <f t="shared" si="25"/>
        <v>9497</v>
      </c>
      <c r="S16" s="531">
        <f t="shared" si="13"/>
        <v>16</v>
      </c>
      <c r="T16" s="530">
        <f t="shared" si="2"/>
        <v>151952</v>
      </c>
      <c r="U16" s="136"/>
      <c r="V16" s="424">
        <v>45665</v>
      </c>
      <c r="W16" s="127" t="s">
        <v>47</v>
      </c>
      <c r="X16" s="128">
        <v>10</v>
      </c>
      <c r="Y16" s="394">
        <v>0.13</v>
      </c>
      <c r="Z16" s="105">
        <f t="shared" si="16"/>
        <v>-130</v>
      </c>
      <c r="AA16" s="137"/>
      <c r="AB16" s="139">
        <f>SUM(O16,Z16)</f>
        <v>150</v>
      </c>
      <c r="AE16" s="600"/>
      <c r="AF16" s="531">
        <f>S16</f>
        <v>16</v>
      </c>
      <c r="AG16" s="649">
        <f>PRODUCT(R16,AF16)</f>
        <v>151952</v>
      </c>
      <c r="AH16" s="134"/>
      <c r="AI16" s="127">
        <f>SUM(V16)</f>
        <v>45665</v>
      </c>
      <c r="AJ16" s="127" t="str">
        <f t="shared" si="17"/>
        <v>Buy</v>
      </c>
      <c r="AK16" s="201">
        <f t="shared" si="18"/>
        <v>10</v>
      </c>
      <c r="AL16" s="394">
        <v>0.13</v>
      </c>
      <c r="AM16" s="105">
        <f t="shared" si="19"/>
        <v>-130</v>
      </c>
      <c r="AN16" s="139">
        <f t="shared" si="20"/>
        <v>150</v>
      </c>
      <c r="AO16" s="58"/>
      <c r="AP16" s="58"/>
      <c r="AQ16" s="58"/>
      <c r="AR16" s="284" t="s">
        <v>57</v>
      </c>
      <c r="AS16" s="284"/>
      <c r="AT16" s="284"/>
      <c r="AU16" s="302"/>
      <c r="AV16" s="289">
        <f ca="1">SUM(AU9)</f>
        <v>45702</v>
      </c>
    </row>
    <row r="17" spans="2:59" ht="15" customHeight="1" x14ac:dyDescent="0.3">
      <c r="B17" s="304" t="s">
        <v>189</v>
      </c>
      <c r="C17" s="378" t="s">
        <v>61</v>
      </c>
      <c r="D17" s="378"/>
      <c r="F17" s="598" t="s">
        <v>180</v>
      </c>
      <c r="G17" s="592" t="s">
        <v>62</v>
      </c>
      <c r="H17" s="592"/>
      <c r="I17" s="593">
        <v>9.5</v>
      </c>
      <c r="J17" s="424">
        <v>45695</v>
      </c>
      <c r="K17" s="424">
        <v>45665</v>
      </c>
      <c r="L17" s="594" t="s">
        <v>63</v>
      </c>
      <c r="M17" s="594">
        <v>10</v>
      </c>
      <c r="N17" s="596">
        <v>0.53</v>
      </c>
      <c r="O17" s="102">
        <f t="shared" si="15"/>
        <v>530.00000000000011</v>
      </c>
      <c r="P17" s="131"/>
      <c r="Q17" s="106">
        <f>PRODUCT(O17,-1)</f>
        <v>-530.00000000000011</v>
      </c>
      <c r="R17" s="490">
        <f t="shared" si="25"/>
        <v>8967</v>
      </c>
      <c r="S17" s="531">
        <f t="shared" si="13"/>
        <v>30</v>
      </c>
      <c r="T17" s="530">
        <f t="shared" si="2"/>
        <v>269010</v>
      </c>
      <c r="U17" s="136"/>
      <c r="V17" s="424">
        <v>45695</v>
      </c>
      <c r="W17" s="127" t="str">
        <f>IF(L17="Buy","Sell","Buy")</f>
        <v>Buy</v>
      </c>
      <c r="X17" s="128">
        <f>SUM(M17)</f>
        <v>10</v>
      </c>
      <c r="Y17" s="394">
        <v>0.02</v>
      </c>
      <c r="Z17" s="105">
        <f t="shared" si="16"/>
        <v>-20</v>
      </c>
      <c r="AA17" s="137"/>
      <c r="AB17" s="139">
        <f>SUM(O17,Z17)</f>
        <v>510.00000000000011</v>
      </c>
      <c r="AE17" s="600"/>
      <c r="AF17" s="531">
        <f>S17</f>
        <v>30</v>
      </c>
      <c r="AG17" s="649">
        <f>PRODUCT(R17,AF17)</f>
        <v>269010</v>
      </c>
      <c r="AH17" s="134"/>
      <c r="AI17" s="127">
        <v>45695</v>
      </c>
      <c r="AJ17" s="127" t="str">
        <f t="shared" si="17"/>
        <v>Buy</v>
      </c>
      <c r="AK17" s="201">
        <f t="shared" si="18"/>
        <v>10</v>
      </c>
      <c r="AL17" s="394">
        <v>0.02</v>
      </c>
      <c r="AM17" s="106">
        <f t="shared" si="19"/>
        <v>-20</v>
      </c>
      <c r="AN17" s="139">
        <f t="shared" si="20"/>
        <v>510.00000000000011</v>
      </c>
      <c r="AO17" s="58"/>
      <c r="AP17" s="58"/>
      <c r="AQ17" s="58"/>
      <c r="AR17" s="284" t="s">
        <v>58</v>
      </c>
      <c r="AS17" s="284"/>
      <c r="AT17" s="284"/>
      <c r="AU17" s="302"/>
      <c r="AV17" s="736" t="s">
        <v>59</v>
      </c>
    </row>
    <row r="18" spans="2:59" ht="15" customHeight="1" x14ac:dyDescent="0.3">
      <c r="B18" s="88" t="s">
        <v>224</v>
      </c>
      <c r="C18" s="80">
        <f>_xll.EPF.Yahoo.Price("F250307C00009500")</f>
        <v>0.17</v>
      </c>
      <c r="D18" s="80"/>
      <c r="F18" s="599" t="s">
        <v>180</v>
      </c>
      <c r="G18" s="586" t="s">
        <v>62</v>
      </c>
      <c r="H18" s="586"/>
      <c r="I18" s="587">
        <v>9.5</v>
      </c>
      <c r="J18" s="582">
        <v>45723</v>
      </c>
      <c r="K18" s="582">
        <v>45695</v>
      </c>
      <c r="L18" s="588" t="s">
        <v>63</v>
      </c>
      <c r="M18" s="588">
        <v>10</v>
      </c>
      <c r="N18" s="590">
        <v>0.15</v>
      </c>
      <c r="O18" s="100">
        <f t="shared" si="15"/>
        <v>150</v>
      </c>
      <c r="P18" s="131"/>
      <c r="Q18" s="104">
        <f>PRODUCT(O18,-1)</f>
        <v>-150</v>
      </c>
      <c r="R18" s="490">
        <f t="shared" si="25"/>
        <v>8817</v>
      </c>
      <c r="S18" s="531">
        <f ca="1">_xlfn.DAYS(TODAY(),K18)</f>
        <v>7</v>
      </c>
      <c r="T18" s="530">
        <f t="shared" ca="1" si="2"/>
        <v>61719</v>
      </c>
      <c r="U18" s="136"/>
      <c r="V18" s="125">
        <f ca="1">$C$4</f>
        <v>45702</v>
      </c>
      <c r="W18" s="125" t="str">
        <f>IF(L18="Buy","Sell","Buy")</f>
        <v>Buy</v>
      </c>
      <c r="X18" s="126">
        <f>SUM(M18)</f>
        <v>10</v>
      </c>
      <c r="Y18" s="197">
        <f>SUM(C18)</f>
        <v>0.17</v>
      </c>
      <c r="Z18" s="103">
        <f t="shared" si="16"/>
        <v>-170.00000000000003</v>
      </c>
      <c r="AA18" s="137"/>
      <c r="AB18" s="138">
        <f>SUM(O18,Z18)</f>
        <v>-20.000000000000028</v>
      </c>
      <c r="AE18" s="600"/>
      <c r="AF18" s="531">
        <f>_xlfn.DAYS(AN5,K18)</f>
        <v>224</v>
      </c>
      <c r="AG18" s="649">
        <f>PRODUCT(R18,AF18)</f>
        <v>1975008</v>
      </c>
      <c r="AH18" s="134"/>
      <c r="AI18" s="582" t="s">
        <v>225</v>
      </c>
      <c r="AJ18" s="125" t="str">
        <f t="shared" si="17"/>
        <v>Buy</v>
      </c>
      <c r="AK18" s="195">
        <f t="shared" si="18"/>
        <v>10</v>
      </c>
      <c r="AL18" s="197">
        <f>IF(I18-C6&gt;0,0,C6-I18)</f>
        <v>0</v>
      </c>
      <c r="AM18" s="104">
        <f t="shared" si="19"/>
        <v>0</v>
      </c>
      <c r="AN18" s="138">
        <f t="shared" si="20"/>
        <v>150</v>
      </c>
      <c r="AO18" s="58"/>
      <c r="AP18" s="58"/>
      <c r="AQ18" s="58"/>
      <c r="AR18" s="284" t="s">
        <v>64</v>
      </c>
      <c r="AS18" s="284"/>
      <c r="AT18" s="284"/>
      <c r="AU18" s="302"/>
      <c r="AV18" s="294" cm="1">
        <f t="array" aca="1" ref="AV18" ca="1">NPendingEvents(AV13,AV14,AV15,AV16,AV17)</f>
        <v>2</v>
      </c>
    </row>
    <row r="19" spans="2:59" ht="15" customHeight="1" x14ac:dyDescent="0.3">
      <c r="AO19" s="58"/>
      <c r="AP19" s="58"/>
      <c r="AQ19" s="58"/>
      <c r="AR19" s="737" t="s">
        <v>66</v>
      </c>
      <c r="AS19" s="737"/>
      <c r="AT19" s="737"/>
      <c r="AU19" s="739"/>
      <c r="AV19" s="293">
        <v>0.15</v>
      </c>
    </row>
    <row r="20" spans="2:59" ht="15" customHeight="1" x14ac:dyDescent="0.3">
      <c r="F20" s="129"/>
      <c r="G20" s="14"/>
      <c r="H20" s="12"/>
      <c r="I20" s="12"/>
      <c r="J20" s="12"/>
      <c r="K20" s="17"/>
      <c r="L20" s="17"/>
      <c r="M20" s="17"/>
      <c r="N20" s="181"/>
      <c r="O20" s="133"/>
      <c r="P20" s="152"/>
      <c r="Q20" s="17"/>
      <c r="R20" s="486"/>
      <c r="S20" s="152"/>
      <c r="T20" s="486"/>
      <c r="U20" s="133"/>
      <c r="V20" s="17"/>
      <c r="W20" s="17"/>
      <c r="X20" s="17"/>
      <c r="Y20" s="133"/>
      <c r="Z20" s="133"/>
      <c r="AA20" s="133"/>
      <c r="AB20" s="132"/>
      <c r="AE20" s="140"/>
      <c r="AF20" s="152"/>
      <c r="AG20" s="650"/>
      <c r="AH20" s="13"/>
      <c r="AI20" s="13"/>
      <c r="AJ20" s="12"/>
      <c r="AK20" s="12"/>
      <c r="AL20" s="12"/>
      <c r="AM20" s="12"/>
      <c r="AN20" s="202"/>
      <c r="AO20" s="58"/>
      <c r="AP20" s="58"/>
      <c r="AQ20" s="58"/>
      <c r="AR20" s="284" t="s">
        <v>68</v>
      </c>
      <c r="AS20" s="284"/>
      <c r="AT20" s="284"/>
      <c r="AU20" s="302"/>
      <c r="AV20" s="294">
        <f>SUM(M8)</f>
        <v>1000</v>
      </c>
    </row>
    <row r="21" spans="2:59" ht="15" customHeight="1" x14ac:dyDescent="0.3">
      <c r="F21" s="129"/>
      <c r="G21" s="14"/>
      <c r="H21" s="12"/>
      <c r="I21" s="12"/>
      <c r="J21" s="12"/>
      <c r="K21" s="17"/>
      <c r="L21" s="17"/>
      <c r="M21" s="17"/>
      <c r="N21" s="181"/>
      <c r="O21" s="133"/>
      <c r="P21" s="152"/>
      <c r="Q21" s="17"/>
      <c r="R21" s="486"/>
      <c r="S21" s="152"/>
      <c r="T21" s="486"/>
      <c r="U21" s="133"/>
      <c r="V21" s="17"/>
      <c r="W21" s="17"/>
      <c r="X21" s="17"/>
      <c r="Y21" s="133"/>
      <c r="Z21" s="133"/>
      <c r="AA21" s="133"/>
      <c r="AB21" s="132"/>
      <c r="AE21" s="140"/>
      <c r="AF21" s="152"/>
      <c r="AG21" s="650"/>
      <c r="AH21" s="13"/>
      <c r="AI21" s="13"/>
      <c r="AJ21" s="12"/>
      <c r="AK21" s="12"/>
      <c r="AL21" s="12"/>
      <c r="AM21" s="12"/>
      <c r="AN21" s="202"/>
      <c r="AO21" s="58"/>
      <c r="AP21" s="58"/>
      <c r="AQ21" s="58"/>
      <c r="AR21" s="284" t="s">
        <v>70</v>
      </c>
      <c r="AS21" s="284"/>
      <c r="AT21" s="284"/>
      <c r="AU21" s="302"/>
      <c r="AV21" s="296">
        <f>PRODUCT(AV19,AV20)</f>
        <v>150</v>
      </c>
    </row>
    <row r="22" spans="2:59" ht="15" customHeight="1" x14ac:dyDescent="0.3">
      <c r="F22" s="129"/>
      <c r="G22" s="14"/>
      <c r="H22" s="12"/>
      <c r="I22" s="12"/>
      <c r="J22" s="12"/>
      <c r="K22" s="17"/>
      <c r="L22" s="17"/>
      <c r="M22" s="17"/>
      <c r="N22" s="181"/>
      <c r="O22" s="133"/>
      <c r="P22" s="152"/>
      <c r="Q22" s="17"/>
      <c r="R22" s="486"/>
      <c r="S22" s="152"/>
      <c r="T22" s="486"/>
      <c r="U22" s="133"/>
      <c r="V22" s="17"/>
      <c r="W22" s="17"/>
      <c r="X22" s="17"/>
      <c r="Y22" s="133"/>
      <c r="Z22" s="133"/>
      <c r="AA22" s="133"/>
      <c r="AB22" s="132"/>
      <c r="AE22" s="140"/>
      <c r="AF22" s="152"/>
      <c r="AG22" s="650"/>
      <c r="AH22" s="13"/>
      <c r="AI22" s="13"/>
      <c r="AJ22" s="12"/>
      <c r="AK22" s="12"/>
      <c r="AL22" s="12"/>
      <c r="AM22" s="12"/>
      <c r="AN22" s="202"/>
      <c r="AR22" s="284" t="s">
        <v>72</v>
      </c>
      <c r="AS22" s="284"/>
      <c r="AT22" s="284"/>
      <c r="AU22" s="302"/>
      <c r="AV22" s="296">
        <f ca="1">PRODUCT(AV21,AV18)</f>
        <v>300</v>
      </c>
    </row>
    <row r="23" spans="2:59" ht="15" customHeight="1" x14ac:dyDescent="0.3">
      <c r="F23" s="129"/>
      <c r="G23" s="14"/>
      <c r="H23" s="12"/>
      <c r="I23" s="12"/>
      <c r="J23" s="12"/>
      <c r="K23" s="17"/>
      <c r="L23" s="17"/>
      <c r="M23" s="17"/>
      <c r="N23" s="181"/>
      <c r="O23" s="133"/>
      <c r="P23" s="152"/>
      <c r="Q23" s="17"/>
      <c r="R23" s="486"/>
      <c r="S23" s="152"/>
      <c r="T23" s="486"/>
      <c r="U23" s="133"/>
      <c r="V23" s="17"/>
      <c r="W23" s="17"/>
      <c r="X23" s="17"/>
      <c r="Y23" s="133"/>
      <c r="Z23" s="133"/>
      <c r="AA23" s="133"/>
      <c r="AB23" s="132"/>
      <c r="AE23" s="140"/>
      <c r="AF23" s="152"/>
      <c r="AG23" s="650"/>
      <c r="AH23" s="13"/>
      <c r="AI23" s="13"/>
      <c r="AJ23" s="12"/>
      <c r="AK23" s="12"/>
      <c r="AL23" s="12"/>
      <c r="AM23" s="12"/>
      <c r="AN23" s="202"/>
      <c r="AR23" s="299"/>
      <c r="AS23" s="299"/>
      <c r="AT23" s="299"/>
      <c r="AU23" s="740"/>
      <c r="BE23" s="381"/>
      <c r="BF23" s="380"/>
      <c r="BG23" s="380"/>
    </row>
    <row r="24" spans="2:59" ht="15" customHeight="1" x14ac:dyDescent="0.3">
      <c r="B24" s="7"/>
      <c r="C24" s="2"/>
      <c r="D24" s="2"/>
      <c r="F24" s="600"/>
      <c r="G24" s="601"/>
      <c r="H24" s="601"/>
      <c r="I24" s="258"/>
      <c r="J24" s="135"/>
      <c r="K24" s="135"/>
      <c r="L24" s="196"/>
      <c r="M24" s="196"/>
      <c r="N24" s="331"/>
      <c r="O24" s="134"/>
      <c r="P24" s="131"/>
      <c r="Q24" s="136"/>
      <c r="R24" s="487"/>
      <c r="S24" s="131"/>
      <c r="T24" s="487"/>
      <c r="U24" s="136"/>
      <c r="V24" s="135"/>
      <c r="W24" s="135"/>
      <c r="X24" s="131"/>
      <c r="Y24" s="259"/>
      <c r="Z24" s="136"/>
      <c r="AA24" s="137"/>
      <c r="AB24" s="141"/>
      <c r="AE24" s="600"/>
      <c r="AF24" s="131"/>
      <c r="AG24" s="534"/>
      <c r="AH24" s="134"/>
      <c r="AI24" s="135"/>
      <c r="AJ24" s="135"/>
      <c r="AK24" s="277"/>
      <c r="AL24" s="259"/>
      <c r="AM24" s="137"/>
      <c r="AN24" s="141"/>
      <c r="AR24" s="298" t="s">
        <v>73</v>
      </c>
      <c r="AS24" s="284"/>
      <c r="AT24" s="284"/>
      <c r="AU24" s="302"/>
      <c r="AV24" s="295"/>
      <c r="BE24" s="381"/>
      <c r="BF24" s="380"/>
      <c r="BG24" s="380"/>
    </row>
    <row r="25" spans="2:59" ht="15" customHeight="1" x14ac:dyDescent="0.3">
      <c r="B25" s="7"/>
      <c r="C25" s="2"/>
      <c r="D25" s="2"/>
      <c r="F25" s="600"/>
      <c r="G25" s="601"/>
      <c r="H25" s="601"/>
      <c r="I25" s="258"/>
      <c r="J25" s="135"/>
      <c r="K25" s="135"/>
      <c r="L25" s="196"/>
      <c r="M25" s="196"/>
      <c r="N25" s="331"/>
      <c r="O25" s="134"/>
      <c r="P25" s="131"/>
      <c r="Q25" s="136"/>
      <c r="R25" s="487"/>
      <c r="S25" s="131"/>
      <c r="T25" s="487"/>
      <c r="U25" s="136"/>
      <c r="V25" s="135"/>
      <c r="W25" s="135"/>
      <c r="X25" s="131"/>
      <c r="Y25" s="130"/>
      <c r="Z25" s="136"/>
      <c r="AA25" s="137"/>
      <c r="AB25" s="141"/>
      <c r="AE25" s="600"/>
      <c r="AF25" s="131"/>
      <c r="AG25" s="534"/>
      <c r="AH25" s="260"/>
      <c r="AI25" s="260"/>
      <c r="AJ25" s="196"/>
      <c r="AK25" s="196"/>
      <c r="AL25" s="608"/>
      <c r="AM25" s="196"/>
      <c r="AN25" s="607"/>
      <c r="AR25" s="284" t="s">
        <v>53</v>
      </c>
      <c r="AS25" s="284"/>
      <c r="AT25" s="284"/>
      <c r="AU25" s="302"/>
      <c r="AV25" s="289">
        <f>SUM(AU8)</f>
        <v>45561</v>
      </c>
      <c r="BE25" s="381"/>
      <c r="BF25" s="380"/>
      <c r="BG25" s="380"/>
    </row>
    <row r="26" spans="2:59" ht="15" customHeight="1" x14ac:dyDescent="0.3">
      <c r="B26" s="7"/>
      <c r="C26" s="2"/>
      <c r="D26" s="2"/>
      <c r="F26" s="600"/>
      <c r="G26" s="601"/>
      <c r="H26" s="601"/>
      <c r="I26" s="258"/>
      <c r="J26" s="135"/>
      <c r="K26" s="135"/>
      <c r="L26" s="196"/>
      <c r="M26" s="196"/>
      <c r="N26" s="331"/>
      <c r="O26" s="134"/>
      <c r="P26" s="131"/>
      <c r="Q26" s="136"/>
      <c r="R26" s="487"/>
      <c r="S26" s="131"/>
      <c r="T26" s="487"/>
      <c r="U26" s="136"/>
      <c r="V26" s="135"/>
      <c r="W26" s="135"/>
      <c r="X26" s="131"/>
      <c r="Y26" s="130"/>
      <c r="Z26" s="136"/>
      <c r="AA26" s="137"/>
      <c r="AB26" s="141"/>
      <c r="AE26" s="600"/>
      <c r="AF26" s="131"/>
      <c r="AG26" s="534"/>
      <c r="AH26" s="260"/>
      <c r="AI26" s="260"/>
      <c r="AJ26" s="196"/>
      <c r="AK26" s="196"/>
      <c r="AL26" s="608"/>
      <c r="AM26" s="196"/>
      <c r="AN26" s="607"/>
      <c r="AR26" s="284" t="s">
        <v>55</v>
      </c>
      <c r="AS26" s="284"/>
      <c r="AT26" s="284"/>
      <c r="AU26" s="302"/>
      <c r="AV26" s="289">
        <f>SUM(AU10)</f>
        <v>45919</v>
      </c>
      <c r="BE26" s="381"/>
      <c r="BF26" s="380"/>
      <c r="BG26" s="380"/>
    </row>
    <row r="27" spans="2:59" ht="15" customHeight="1" x14ac:dyDescent="0.3">
      <c r="B27" s="7"/>
      <c r="C27" s="2"/>
      <c r="D27" s="2"/>
      <c r="F27" s="600"/>
      <c r="G27" s="601"/>
      <c r="H27" s="696"/>
      <c r="I27" s="266"/>
      <c r="J27" s="266"/>
      <c r="K27" s="266"/>
      <c r="L27" s="260"/>
      <c r="M27" s="136"/>
      <c r="N27" s="331"/>
      <c r="O27" s="134"/>
      <c r="P27" s="131"/>
      <c r="Q27" s="136"/>
      <c r="R27" s="487"/>
      <c r="S27" s="131"/>
      <c r="T27" s="487"/>
      <c r="U27" s="136"/>
      <c r="V27" s="135"/>
      <c r="W27" s="135"/>
      <c r="X27" s="131"/>
      <c r="Y27" s="130"/>
      <c r="Z27" s="136"/>
      <c r="AA27" s="137"/>
      <c r="AB27" s="141"/>
      <c r="AE27" s="600"/>
      <c r="AF27" s="131"/>
      <c r="AG27" s="534"/>
      <c r="AH27" s="260"/>
      <c r="AI27" s="260"/>
      <c r="AJ27" s="196"/>
      <c r="AK27" s="196"/>
      <c r="AL27" s="608"/>
      <c r="AM27" s="196"/>
      <c r="AN27" s="607"/>
      <c r="AR27" s="284" t="s">
        <v>74</v>
      </c>
      <c r="AS27" s="284"/>
      <c r="AT27" s="284"/>
      <c r="AU27" s="302"/>
      <c r="AV27" s="735">
        <f>J18</f>
        <v>45723</v>
      </c>
      <c r="BE27" s="381"/>
      <c r="BF27" s="380"/>
      <c r="BG27" s="380"/>
    </row>
    <row r="28" spans="2:59" ht="15" customHeight="1" x14ac:dyDescent="0.3">
      <c r="B28" s="7"/>
      <c r="C28" s="2"/>
      <c r="D28" s="2"/>
      <c r="F28" s="600"/>
      <c r="G28" s="601"/>
      <c r="H28" s="601"/>
      <c r="I28" s="454"/>
      <c r="J28" s="135"/>
      <c r="K28" s="135"/>
      <c r="L28" s="196"/>
      <c r="M28" s="196"/>
      <c r="N28" s="331"/>
      <c r="O28" s="134"/>
      <c r="P28" s="131"/>
      <c r="Q28" s="136"/>
      <c r="R28" s="487"/>
      <c r="S28" s="131"/>
      <c r="T28" s="487"/>
      <c r="U28" s="136"/>
      <c r="V28" s="136"/>
      <c r="W28" s="135"/>
      <c r="X28" s="131"/>
      <c r="Y28" s="130"/>
      <c r="Z28" s="136"/>
      <c r="AA28" s="137"/>
      <c r="AB28" s="141"/>
      <c r="AE28" s="600"/>
      <c r="AF28" s="454"/>
      <c r="AG28" s="534"/>
      <c r="AH28" s="135"/>
      <c r="AI28" s="260"/>
      <c r="AJ28" s="196"/>
      <c r="AK28" s="196"/>
      <c r="AL28" s="608"/>
      <c r="AM28" s="196"/>
      <c r="AN28" s="607"/>
      <c r="AR28" s="284" t="s">
        <v>57</v>
      </c>
      <c r="AS28" s="284"/>
      <c r="AT28" s="284"/>
      <c r="AU28" s="302"/>
      <c r="AV28" s="289">
        <f ca="1">SUM(AU9)</f>
        <v>45702</v>
      </c>
      <c r="BE28" s="381"/>
      <c r="BF28" s="380"/>
      <c r="BG28" s="380"/>
    </row>
    <row r="29" spans="2:59" ht="15" customHeight="1" x14ac:dyDescent="0.3">
      <c r="B29" s="7"/>
      <c r="C29" s="2"/>
      <c r="D29" s="2"/>
      <c r="F29" s="600"/>
      <c r="G29" s="601"/>
      <c r="H29" s="601"/>
      <c r="I29" s="454"/>
      <c r="J29" s="135"/>
      <c r="K29" s="135"/>
      <c r="L29" s="196"/>
      <c r="M29" s="196"/>
      <c r="N29" s="331"/>
      <c r="O29" s="134"/>
      <c r="P29" s="131"/>
      <c r="Q29" s="136"/>
      <c r="R29" s="487"/>
      <c r="S29" s="131"/>
      <c r="T29" s="487"/>
      <c r="U29" s="136"/>
      <c r="V29" s="501"/>
      <c r="W29" s="135"/>
      <c r="X29" s="131"/>
      <c r="Y29" s="130"/>
      <c r="Z29" s="136"/>
      <c r="AA29" s="137"/>
      <c r="AB29" s="141"/>
      <c r="AE29" s="600"/>
      <c r="AF29" s="454"/>
      <c r="AG29" s="534"/>
      <c r="AH29" s="135"/>
      <c r="AI29" s="260"/>
      <c r="AJ29" s="196"/>
      <c r="AK29" s="196"/>
      <c r="AL29" s="608"/>
      <c r="AM29" s="196"/>
      <c r="AN29" s="607"/>
      <c r="AR29" s="284" t="s">
        <v>58</v>
      </c>
      <c r="AS29" s="284"/>
      <c r="AT29" s="284"/>
      <c r="AU29" s="302"/>
      <c r="AV29" s="736" t="s">
        <v>75</v>
      </c>
      <c r="BE29" s="381"/>
      <c r="BF29" s="380"/>
      <c r="BG29" s="380"/>
    </row>
    <row r="30" spans="2:59" ht="15" customHeight="1" x14ac:dyDescent="0.3">
      <c r="B30" s="7"/>
      <c r="C30" s="2"/>
      <c r="D30" s="2"/>
      <c r="F30" s="600"/>
      <c r="G30" s="601"/>
      <c r="H30" s="601"/>
      <c r="I30" s="258"/>
      <c r="J30" s="135"/>
      <c r="K30" s="135"/>
      <c r="L30" s="196"/>
      <c r="M30" s="196"/>
      <c r="N30" s="331"/>
      <c r="O30" s="134"/>
      <c r="P30" s="131"/>
      <c r="Q30" s="136"/>
      <c r="R30" s="487"/>
      <c r="S30" s="131"/>
      <c r="T30" s="646"/>
      <c r="U30" s="136"/>
      <c r="V30" s="501"/>
      <c r="W30" s="135"/>
      <c r="X30" s="131"/>
      <c r="Y30" s="130"/>
      <c r="Z30" s="136"/>
      <c r="AA30" s="137"/>
      <c r="AB30" s="141"/>
      <c r="AE30" s="600"/>
      <c r="AF30" s="131"/>
      <c r="AG30" s="697"/>
      <c r="AH30" s="260"/>
      <c r="AI30" s="260"/>
      <c r="AJ30" s="196"/>
      <c r="AK30" s="196"/>
      <c r="AL30" s="608"/>
      <c r="AM30" s="196"/>
      <c r="AN30" s="607"/>
      <c r="AR30" s="284" t="s">
        <v>76</v>
      </c>
      <c r="AS30" s="284"/>
      <c r="AT30" s="284"/>
      <c r="AU30" s="302"/>
      <c r="AV30" s="294" cm="1">
        <f t="array" aca="1" ref="AV30" ca="1">NPendingEvents(AV25,AV26,AV27,AV28,AV29)</f>
        <v>7</v>
      </c>
      <c r="BG30" s="380"/>
    </row>
    <row r="31" spans="2:59" ht="15" customHeight="1" x14ac:dyDescent="0.3">
      <c r="B31" s="7"/>
      <c r="C31" s="2"/>
      <c r="D31" s="2"/>
      <c r="F31" s="600"/>
      <c r="G31" s="601"/>
      <c r="H31" s="601"/>
      <c r="I31" s="258"/>
      <c r="J31" s="135"/>
      <c r="K31" s="135"/>
      <c r="L31" s="196"/>
      <c r="M31" s="196"/>
      <c r="N31" s="331"/>
      <c r="O31" s="134"/>
      <c r="P31" s="131"/>
      <c r="Q31" s="136"/>
      <c r="R31" s="487"/>
      <c r="S31" s="131"/>
      <c r="T31" s="647"/>
      <c r="U31" s="136"/>
      <c r="V31" s="501"/>
      <c r="W31" s="135"/>
      <c r="X31" s="131"/>
      <c r="Y31" s="130"/>
      <c r="Z31" s="136"/>
      <c r="AA31" s="137"/>
      <c r="AB31" s="141"/>
      <c r="AE31" s="698"/>
      <c r="AF31" s="131"/>
      <c r="AG31" s="699"/>
      <c r="AH31" s="260"/>
      <c r="AI31" s="260"/>
      <c r="AJ31" s="196"/>
      <c r="AK31" s="196"/>
      <c r="AM31" s="311"/>
      <c r="AN31" s="802"/>
      <c r="AR31" s="737" t="s">
        <v>77</v>
      </c>
      <c r="AS31" s="737"/>
      <c r="AT31" s="737"/>
      <c r="AU31" s="739"/>
      <c r="AV31" s="65">
        <v>0.15</v>
      </c>
      <c r="BG31" s="380"/>
    </row>
    <row r="32" spans="2:59" ht="15" customHeight="1" x14ac:dyDescent="0.3">
      <c r="B32" s="7"/>
      <c r="C32" s="2"/>
      <c r="D32" s="2"/>
      <c r="F32" s="600"/>
      <c r="G32" s="601"/>
      <c r="H32" s="601"/>
      <c r="I32" s="258"/>
      <c r="J32" s="135"/>
      <c r="K32" s="135"/>
      <c r="L32" s="196"/>
      <c r="M32" s="196"/>
      <c r="N32" s="331"/>
      <c r="O32" s="134"/>
      <c r="P32" s="131"/>
      <c r="Q32" s="136"/>
      <c r="R32" s="487"/>
      <c r="S32" s="131"/>
      <c r="T32" s="487"/>
      <c r="U32" s="136"/>
      <c r="V32" s="135"/>
      <c r="W32" s="135"/>
      <c r="X32" s="131"/>
      <c r="Y32" s="130"/>
      <c r="Z32" s="136"/>
      <c r="AA32" s="137"/>
      <c r="AB32" s="141"/>
      <c r="AE32" s="609"/>
      <c r="AF32" s="131"/>
      <c r="AG32" s="534"/>
      <c r="AH32" s="260"/>
      <c r="AI32" s="260"/>
      <c r="AJ32" s="554"/>
      <c r="AK32" s="554"/>
      <c r="AL32" s="278"/>
      <c r="AM32" s="689" t="s">
        <v>78</v>
      </c>
      <c r="AN32" s="555">
        <f ca="1">SUM(AV22)</f>
        <v>300</v>
      </c>
      <c r="AR32" s="284" t="s">
        <v>68</v>
      </c>
      <c r="AS32" s="284"/>
      <c r="AT32" s="284"/>
      <c r="AU32" s="302"/>
      <c r="AV32" s="294">
        <f>SUM(M8)</f>
        <v>1000</v>
      </c>
      <c r="BG32" s="380"/>
    </row>
    <row r="33" spans="2:59" ht="15" customHeight="1" thickBot="1" x14ac:dyDescent="0.35">
      <c r="F33" s="597"/>
      <c r="G33" s="258"/>
      <c r="H33" s="196"/>
      <c r="I33" s="196"/>
      <c r="J33" s="136"/>
      <c r="K33" s="136"/>
      <c r="L33" s="136"/>
      <c r="M33" s="136"/>
      <c r="N33" s="331"/>
      <c r="O33" s="136"/>
      <c r="P33" s="131"/>
      <c r="Q33" s="136"/>
      <c r="R33" s="487"/>
      <c r="S33" s="131"/>
      <c r="T33" s="487"/>
      <c r="U33" s="136"/>
      <c r="V33" s="136"/>
      <c r="W33" s="136"/>
      <c r="X33" s="196"/>
      <c r="Y33" s="196"/>
      <c r="Z33" s="311"/>
      <c r="AA33" s="136"/>
      <c r="AB33" s="312"/>
      <c r="AC33"/>
      <c r="AD33"/>
      <c r="AE33" s="603"/>
      <c r="AF33" s="249"/>
      <c r="AG33" s="535"/>
      <c r="AH33" s="610"/>
      <c r="AI33" s="611"/>
      <c r="AJ33" s="556"/>
      <c r="AK33" s="556"/>
      <c r="AL33" s="278"/>
      <c r="AM33" s="690" t="s">
        <v>79</v>
      </c>
      <c r="AN33" s="557">
        <f ca="1">PRODUCT(AV34)</f>
        <v>1050</v>
      </c>
      <c r="AO33" s="2"/>
      <c r="AP33" s="2"/>
      <c r="AQ33" s="2"/>
      <c r="AR33" s="284" t="s">
        <v>80</v>
      </c>
      <c r="AS33" s="284"/>
      <c r="AT33" s="284"/>
      <c r="AU33" s="302"/>
      <c r="AV33" s="296">
        <f>PRODUCT(AV31,AV32)</f>
        <v>150</v>
      </c>
      <c r="BG33" s="380"/>
    </row>
    <row r="34" spans="2:59" ht="15" customHeight="1" thickTop="1" x14ac:dyDescent="0.3">
      <c r="F34" s="597"/>
      <c r="G34" s="258"/>
      <c r="H34" s="196"/>
      <c r="I34" s="196"/>
      <c r="J34" s="136"/>
      <c r="K34" s="136"/>
      <c r="L34" s="136"/>
      <c r="M34" s="136"/>
      <c r="N34" s="136"/>
      <c r="O34" s="627"/>
      <c r="P34" s="131"/>
      <c r="Q34" s="136"/>
      <c r="R34" s="487"/>
      <c r="S34" s="126" t="s">
        <v>169</v>
      </c>
      <c r="T34" s="628">
        <f ca="1">SUM(T8:T31)</f>
        <v>1397207</v>
      </c>
      <c r="U34" s="136"/>
      <c r="V34" s="136"/>
      <c r="W34" s="629" t="s">
        <v>166</v>
      </c>
      <c r="X34" s="503"/>
      <c r="Y34" s="194"/>
      <c r="Z34" s="552"/>
      <c r="AA34" s="490">
        <f ca="1">PRODUCT(T34,1/AB36)</f>
        <v>9909.2695035460983</v>
      </c>
      <c r="AB34" s="312"/>
      <c r="AC34" s="198">
        <f>SUM(R18)</f>
        <v>8817</v>
      </c>
      <c r="AE34" s="354"/>
      <c r="AF34" s="294" t="s">
        <v>172</v>
      </c>
      <c r="AG34" s="612">
        <f>SUM(AG8:AG30)</f>
        <v>3310496</v>
      </c>
      <c r="AH34" s="613"/>
      <c r="AI34" s="544" t="s">
        <v>173</v>
      </c>
      <c r="AJ34" s="545"/>
      <c r="AK34" s="545"/>
      <c r="AL34" s="545"/>
      <c r="AM34" s="545"/>
      <c r="AN34" s="546">
        <f>PRODUCT(AG34,1/AN36)</f>
        <v>9247.1955307262579</v>
      </c>
      <c r="AO34" s="2"/>
      <c r="AP34" s="2"/>
      <c r="AQ34" s="2"/>
      <c r="AR34" s="284" t="s">
        <v>82</v>
      </c>
      <c r="AS34" s="284"/>
      <c r="AT34" s="284"/>
      <c r="AU34" s="302"/>
      <c r="AV34" s="296">
        <f ca="1">PRODUCT(AV30,AV33)</f>
        <v>1050</v>
      </c>
      <c r="AW34" s="300"/>
    </row>
    <row r="35" spans="2:59" ht="15" customHeight="1" x14ac:dyDescent="0.3">
      <c r="F35" s="597"/>
      <c r="G35" s="258"/>
      <c r="H35" s="196"/>
      <c r="I35" s="196"/>
      <c r="J35" s="135"/>
      <c r="K35" s="136"/>
      <c r="L35" s="136"/>
      <c r="M35" s="136"/>
      <c r="N35" s="331"/>
      <c r="O35" s="136"/>
      <c r="P35" s="131"/>
      <c r="Q35" s="136"/>
      <c r="R35" s="487"/>
      <c r="S35" s="131"/>
      <c r="T35" s="487"/>
      <c r="U35" s="136"/>
      <c r="V35" s="136"/>
      <c r="W35" s="115" t="s">
        <v>193</v>
      </c>
      <c r="X35" s="103"/>
      <c r="Y35" s="113"/>
      <c r="Z35" s="114"/>
      <c r="AA35" s="113"/>
      <c r="AB35" s="142">
        <f>SUM(AB8:AB33)</f>
        <v>450.00000000000034</v>
      </c>
      <c r="AD35" s="198">
        <f>SUM(AB35)</f>
        <v>450.00000000000034</v>
      </c>
      <c r="AE35" s="354"/>
      <c r="AF35" s="537"/>
      <c r="AG35" s="651"/>
      <c r="AH35" s="613"/>
      <c r="AI35" s="240" t="s">
        <v>174</v>
      </c>
      <c r="AJ35" s="113"/>
      <c r="AK35" s="113"/>
      <c r="AL35" s="113"/>
      <c r="AM35" s="113"/>
      <c r="AN35" s="142">
        <f ca="1">SUM(AN8:AN33)</f>
        <v>1175</v>
      </c>
      <c r="AO35" s="2"/>
      <c r="AP35" s="142">
        <f ca="1">AN35</f>
        <v>1175</v>
      </c>
    </row>
    <row r="36" spans="2:59" ht="15" customHeight="1" x14ac:dyDescent="0.3">
      <c r="F36" s="597"/>
      <c r="G36" s="805" t="s">
        <v>182</v>
      </c>
      <c r="H36" s="806"/>
      <c r="I36" s="830"/>
      <c r="J36" s="831"/>
      <c r="K36" s="811" t="s">
        <v>185</v>
      </c>
      <c r="L36" s="806"/>
      <c r="M36" s="821" t="s">
        <v>191</v>
      </c>
      <c r="N36" s="822"/>
      <c r="O36" s="822"/>
      <c r="P36" s="631"/>
      <c r="Q36" s="632"/>
      <c r="R36" s="487"/>
      <c r="S36" s="630"/>
      <c r="T36" s="487"/>
      <c r="U36" s="136"/>
      <c r="V36" s="136"/>
      <c r="W36" s="115" t="s">
        <v>85</v>
      </c>
      <c r="X36" s="103"/>
      <c r="Y36" s="115"/>
      <c r="Z36" s="115"/>
      <c r="AA36" s="113"/>
      <c r="AB36" s="143">
        <f ca="1">_xlfn.DAYS(AB5,AB4)</f>
        <v>141</v>
      </c>
      <c r="AC36" s="37"/>
      <c r="AD36" s="37"/>
      <c r="AE36" s="614"/>
      <c r="AF36" s="615"/>
      <c r="AG36" s="651"/>
      <c r="AH36" s="613"/>
      <c r="AI36" s="240" t="s">
        <v>175</v>
      </c>
      <c r="AJ36" s="113"/>
      <c r="AK36" s="113"/>
      <c r="AL36" s="113"/>
      <c r="AM36" s="113"/>
      <c r="AN36" s="143">
        <f>_xlfn.DAYS(AN5,AN4)</f>
        <v>358</v>
      </c>
      <c r="AO36" s="2"/>
      <c r="AP36" s="2"/>
      <c r="AQ36" s="2"/>
    </row>
    <row r="37" spans="2:59" ht="15" customHeight="1" thickBot="1" x14ac:dyDescent="0.4">
      <c r="F37" s="597"/>
      <c r="G37" s="806"/>
      <c r="H37" s="806"/>
      <c r="I37" s="831"/>
      <c r="J37" s="831"/>
      <c r="K37" s="806"/>
      <c r="L37" s="806"/>
      <c r="M37" s="822"/>
      <c r="N37" s="822"/>
      <c r="O37" s="822"/>
      <c r="P37" s="631"/>
      <c r="Q37" s="632"/>
      <c r="R37" s="630"/>
      <c r="S37" s="630"/>
      <c r="T37" s="487"/>
      <c r="U37" s="136"/>
      <c r="V37" s="136"/>
      <c r="W37" s="629" t="s">
        <v>194</v>
      </c>
      <c r="X37" s="503"/>
      <c r="Y37" s="194"/>
      <c r="Z37" s="552"/>
      <c r="AA37" s="194"/>
      <c r="AB37" s="633">
        <f ca="1">PRODUCT(AB35,100,1/AA34)</f>
        <v>4.5412025562425651</v>
      </c>
      <c r="AC37" s="71"/>
      <c r="AD37" s="749" t="s">
        <v>245</v>
      </c>
      <c r="AE37" s="616"/>
      <c r="AF37" s="617"/>
      <c r="AG37" s="651"/>
      <c r="AH37" s="613"/>
      <c r="AI37" s="551" t="s">
        <v>176</v>
      </c>
      <c r="AJ37" s="194"/>
      <c r="AK37" s="194"/>
      <c r="AL37" s="194"/>
      <c r="AM37" s="194"/>
      <c r="AN37" s="553">
        <f ca="1">PRODUCT(AN35,100,1/AN34)</f>
        <v>12.706555150648118</v>
      </c>
      <c r="AO37" s="2"/>
      <c r="AP37" s="2"/>
      <c r="AQ37" s="2"/>
    </row>
    <row r="38" spans="2:59" ht="45" customHeight="1" thickTop="1" thickBot="1" x14ac:dyDescent="0.35">
      <c r="F38" s="602"/>
      <c r="G38" s="807"/>
      <c r="H38" s="807"/>
      <c r="I38" s="832"/>
      <c r="J38" s="832"/>
      <c r="K38" s="812"/>
      <c r="L38" s="812"/>
      <c r="M38" s="823"/>
      <c r="N38" s="823"/>
      <c r="O38" s="823"/>
      <c r="P38" s="249"/>
      <c r="Q38" s="251"/>
      <c r="R38" s="493"/>
      <c r="S38" s="249"/>
      <c r="T38" s="493"/>
      <c r="U38" s="251"/>
      <c r="V38" s="251"/>
      <c r="W38" s="634" t="s">
        <v>195</v>
      </c>
      <c r="X38" s="635"/>
      <c r="Y38" s="605"/>
      <c r="Z38" s="605"/>
      <c r="AA38" s="605"/>
      <c r="AB38" s="636">
        <f ca="1">PRODUCT(AB37,365,1/AB36)</f>
        <v>11.755595269705932</v>
      </c>
      <c r="AC38" s="550"/>
      <c r="AD38" s="550"/>
      <c r="AE38" s="604"/>
      <c r="AF38" s="618"/>
      <c r="AG38" s="652"/>
      <c r="AH38" s="619"/>
      <c r="AI38" s="547" t="s">
        <v>196</v>
      </c>
      <c r="AJ38" s="374"/>
      <c r="AK38" s="605"/>
      <c r="AL38" s="605"/>
      <c r="AM38" s="620"/>
      <c r="AN38" s="543">
        <f ca="1">PRODUCT(AN37,365,1/AN36)</f>
        <v>12.955007346331183</v>
      </c>
      <c r="AO38" s="2"/>
      <c r="AP38" s="2"/>
      <c r="AQ38" s="2"/>
    </row>
    <row r="39" spans="2:59" ht="15" customHeight="1" thickTop="1" x14ac:dyDescent="0.3">
      <c r="J39" s="5"/>
      <c r="N39" s="109"/>
      <c r="O39" s="5"/>
      <c r="U39" s="5"/>
      <c r="X39" s="1"/>
      <c r="Y39" s="1"/>
      <c r="Z39" s="23"/>
      <c r="AA39" s="5"/>
      <c r="AB39" s="2"/>
      <c r="AN39" s="5"/>
      <c r="AO39" s="2"/>
      <c r="AP39" s="2"/>
      <c r="AQ39" s="2"/>
    </row>
    <row r="40" spans="2:59" ht="15" customHeight="1" x14ac:dyDescent="0.3">
      <c r="I40" s="417" t="s">
        <v>83</v>
      </c>
      <c r="J40" s="418">
        <v>45723</v>
      </c>
      <c r="N40" s="225"/>
      <c r="O40" s="5"/>
      <c r="U40" s="5"/>
      <c r="X40" s="1"/>
      <c r="Y40" s="1"/>
      <c r="Z40" s="23"/>
      <c r="AA40" s="5"/>
      <c r="AB40" s="2"/>
      <c r="AN40" s="5"/>
      <c r="AO40" s="2"/>
      <c r="AP40" s="2"/>
      <c r="AQ40" s="2"/>
    </row>
    <row r="41" spans="2:59" ht="15" customHeight="1" thickBot="1" x14ac:dyDescent="0.35">
      <c r="J41" s="5"/>
      <c r="N41" s="109"/>
      <c r="O41" s="5"/>
      <c r="U41" s="5"/>
      <c r="X41" s="1"/>
      <c r="Y41" s="1"/>
      <c r="Z41" s="23"/>
      <c r="AA41" s="5"/>
      <c r="AB41" s="2"/>
      <c r="AN41" s="5"/>
      <c r="AO41" s="2"/>
      <c r="AP41" s="2"/>
      <c r="AQ41" s="2"/>
    </row>
    <row r="42" spans="2:59" ht="15" customHeight="1" thickTop="1" x14ac:dyDescent="0.3">
      <c r="F42" s="91"/>
      <c r="G42" s="92"/>
      <c r="H42" s="92"/>
      <c r="I42" s="901" t="s">
        <v>91</v>
      </c>
      <c r="J42" s="902"/>
      <c r="K42" s="902"/>
      <c r="L42" s="902"/>
      <c r="M42" s="164"/>
      <c r="N42" s="165"/>
      <c r="O42" s="166" t="s">
        <v>3</v>
      </c>
      <c r="P42" s="471"/>
      <c r="Q42" s="502"/>
      <c r="R42" s="489"/>
      <c r="S42" s="471"/>
      <c r="T42" s="489"/>
      <c r="U42" s="167"/>
      <c r="V42" s="168"/>
      <c r="W42" s="93"/>
      <c r="X42" s="892" t="s">
        <v>4</v>
      </c>
      <c r="Y42" s="893"/>
      <c r="Z42" s="323"/>
      <c r="AA42" s="324" t="s">
        <v>5</v>
      </c>
      <c r="AB42" s="325">
        <f>K48</f>
        <v>45611</v>
      </c>
      <c r="AH42" s="167"/>
      <c r="AI42" s="168"/>
      <c r="AJ42" s="93"/>
      <c r="AK42" s="892" t="s">
        <v>4</v>
      </c>
      <c r="AL42" s="893"/>
      <c r="AM42" s="326"/>
      <c r="AN42" s="256">
        <f>SUM(K49)</f>
        <v>45611</v>
      </c>
      <c r="AO42" s="2"/>
      <c r="AP42" s="2"/>
      <c r="AQ42" s="2"/>
    </row>
    <row r="43" spans="2:59" ht="15" customHeight="1" thickBot="1" x14ac:dyDescent="0.35">
      <c r="F43" s="169"/>
      <c r="G43" s="170"/>
      <c r="H43" s="170"/>
      <c r="I43" s="903"/>
      <c r="J43" s="903"/>
      <c r="K43" s="903"/>
      <c r="L43" s="903"/>
      <c r="M43" s="115"/>
      <c r="N43" s="171"/>
      <c r="O43" s="172" t="s">
        <v>6</v>
      </c>
      <c r="P43" s="472"/>
      <c r="Q43" s="503"/>
      <c r="R43" s="490"/>
      <c r="S43" s="472"/>
      <c r="T43" s="490"/>
      <c r="U43" s="173"/>
      <c r="V43" s="174"/>
      <c r="W43" s="175"/>
      <c r="X43" s="894"/>
      <c r="Y43" s="895"/>
      <c r="Z43" s="209"/>
      <c r="AA43" s="210" t="s">
        <v>7</v>
      </c>
      <c r="AB43" s="211">
        <f ca="1">$C$4</f>
        <v>45702</v>
      </c>
      <c r="AH43" s="173"/>
      <c r="AI43" s="174"/>
      <c r="AJ43" s="175"/>
      <c r="AK43" s="894"/>
      <c r="AL43" s="895"/>
      <c r="AM43" s="255"/>
      <c r="AN43" s="257">
        <f>SUM(J49)</f>
        <v>45919</v>
      </c>
      <c r="AO43" s="2"/>
      <c r="AP43" s="2"/>
      <c r="AQ43" s="2"/>
    </row>
    <row r="44" spans="2:59" ht="73.2" customHeight="1" thickTop="1" thickBot="1" x14ac:dyDescent="0.4">
      <c r="B44" s="1" t="s">
        <v>8</v>
      </c>
      <c r="F44" s="94" t="s">
        <v>9</v>
      </c>
      <c r="G44" s="119" t="s">
        <v>10</v>
      </c>
      <c r="H44" s="119" t="s">
        <v>11</v>
      </c>
      <c r="I44" s="119" t="s">
        <v>12</v>
      </c>
      <c r="J44" s="119" t="s">
        <v>13</v>
      </c>
      <c r="K44" s="826" t="s">
        <v>14</v>
      </c>
      <c r="L44" s="948" t="s">
        <v>15</v>
      </c>
      <c r="M44" s="950" t="s">
        <v>16</v>
      </c>
      <c r="N44" s="110" t="s">
        <v>17</v>
      </c>
      <c r="O44" s="838" t="s">
        <v>203</v>
      </c>
      <c r="P44" s="803"/>
      <c r="Q44" s="828" t="s">
        <v>200</v>
      </c>
      <c r="R44" s="840" t="s">
        <v>201</v>
      </c>
      <c r="S44" s="864" t="s">
        <v>202</v>
      </c>
      <c r="T44" s="866" t="s">
        <v>204</v>
      </c>
      <c r="U44" s="116"/>
      <c r="V44" s="407" t="s">
        <v>19</v>
      </c>
      <c r="W44" s="407" t="s">
        <v>20</v>
      </c>
      <c r="X44" s="408" t="s">
        <v>16</v>
      </c>
      <c r="Y44" s="407" t="s">
        <v>21</v>
      </c>
      <c r="Z44" s="402" t="s">
        <v>22</v>
      </c>
      <c r="AA44" s="402" t="s">
        <v>23</v>
      </c>
      <c r="AB44" s="409" t="s">
        <v>24</v>
      </c>
      <c r="AE44" s="875"/>
      <c r="AF44" s="864" t="s">
        <v>213</v>
      </c>
      <c r="AG44" s="877" t="s">
        <v>212</v>
      </c>
      <c r="AH44" s="99"/>
      <c r="AI44" s="401" t="s">
        <v>25</v>
      </c>
      <c r="AJ44" s="887" t="s">
        <v>20</v>
      </c>
      <c r="AK44" s="886" t="s">
        <v>16</v>
      </c>
      <c r="AL44" s="401" t="s">
        <v>26</v>
      </c>
      <c r="AM44" s="401" t="s">
        <v>27</v>
      </c>
      <c r="AN44" s="879" t="s">
        <v>28</v>
      </c>
      <c r="AO44" s="888"/>
      <c r="AP44" s="403"/>
      <c r="AQ44" s="403"/>
    </row>
    <row r="45" spans="2:59" ht="58.8" thickTop="1" thickBot="1" x14ac:dyDescent="0.35">
      <c r="B45" s="89" t="s">
        <v>29</v>
      </c>
      <c r="C45" s="685" t="s">
        <v>222</v>
      </c>
      <c r="D45" s="686">
        <f>_xll.EPF.Yahoo.Price("f")</f>
        <v>9.4450000000000003</v>
      </c>
      <c r="F45" s="410"/>
      <c r="G45" s="411"/>
      <c r="H45" s="411"/>
      <c r="I45" s="411"/>
      <c r="J45" s="411"/>
      <c r="K45" s="835"/>
      <c r="L45" s="949"/>
      <c r="M45" s="951"/>
      <c r="N45" s="117" t="s">
        <v>30</v>
      </c>
      <c r="O45" s="839"/>
      <c r="P45" s="804"/>
      <c r="Q45" s="829"/>
      <c r="R45" s="841"/>
      <c r="S45" s="865"/>
      <c r="T45" s="867"/>
      <c r="U45" s="118"/>
      <c r="V45" s="199" t="s">
        <v>31</v>
      </c>
      <c r="W45" s="402"/>
      <c r="X45" s="406"/>
      <c r="Y45" s="199" t="s">
        <v>32</v>
      </c>
      <c r="Z45" s="120" t="s">
        <v>33</v>
      </c>
      <c r="AA45" s="402"/>
      <c r="AB45" s="409"/>
      <c r="AE45" s="917"/>
      <c r="AF45" s="865"/>
      <c r="AG45" s="878"/>
      <c r="AH45" s="118"/>
      <c r="AI45" s="261" t="s">
        <v>34</v>
      </c>
      <c r="AJ45" s="869"/>
      <c r="AK45" s="882"/>
      <c r="AL45" s="199" t="s">
        <v>32</v>
      </c>
      <c r="AM45" s="120" t="s">
        <v>33</v>
      </c>
      <c r="AN45" s="880"/>
      <c r="AO45" s="888"/>
      <c r="AP45" s="403"/>
      <c r="AQ45" s="403"/>
      <c r="AR45" s="370"/>
      <c r="AS45" s="371" t="s">
        <v>4</v>
      </c>
      <c r="AT45" s="372"/>
      <c r="AU45" s="367" t="s">
        <v>35</v>
      </c>
      <c r="AV45" s="400" t="s">
        <v>36</v>
      </c>
      <c r="AW45" s="400" t="s">
        <v>37</v>
      </c>
      <c r="AX45" s="400" t="s">
        <v>38</v>
      </c>
      <c r="AY45" s="400" t="s">
        <v>39</v>
      </c>
      <c r="AZ45" s="400" t="s">
        <v>40</v>
      </c>
      <c r="BA45" s="218" t="s">
        <v>41</v>
      </c>
    </row>
    <row r="46" spans="2:59" ht="15" customHeight="1" thickTop="1" thickBot="1" x14ac:dyDescent="0.35">
      <c r="B46" s="304" t="s">
        <v>92</v>
      </c>
      <c r="C46" s="378" t="s">
        <v>61</v>
      </c>
      <c r="D46" s="378"/>
      <c r="F46" s="96" t="s">
        <v>43</v>
      </c>
      <c r="G46" s="97" t="s">
        <v>49</v>
      </c>
      <c r="H46" s="97" t="s">
        <v>45</v>
      </c>
      <c r="I46" s="9">
        <v>11.17</v>
      </c>
      <c r="J46" s="10">
        <v>45828</v>
      </c>
      <c r="K46" s="10">
        <v>45555</v>
      </c>
      <c r="L46" s="8" t="s">
        <v>47</v>
      </c>
      <c r="M46" s="29">
        <v>4</v>
      </c>
      <c r="N46" s="30">
        <v>1.34</v>
      </c>
      <c r="O46" s="102">
        <f>IF(L46="Buy",M46*N46*-1*100,M46*N46*100)</f>
        <v>-536</v>
      </c>
      <c r="P46" s="152"/>
      <c r="Q46" s="104">
        <f t="shared" ref="Q46:Q55" si="26">PRODUCT(O46,-1)</f>
        <v>536</v>
      </c>
      <c r="R46" s="530">
        <f>Q46</f>
        <v>536</v>
      </c>
      <c r="S46" s="531">
        <f t="shared" ref="S46:S54" si="27">_xlfn.DAYS(K47,K46)</f>
        <v>0</v>
      </c>
      <c r="T46" s="530">
        <f t="shared" ref="T46:T55" si="28">PRODUCT(R46,S46)</f>
        <v>0</v>
      </c>
      <c r="U46" s="16"/>
      <c r="V46" s="397">
        <v>45678</v>
      </c>
      <c r="W46" s="127" t="str">
        <f t="shared" ref="W46:W55" si="29">IF(L46="Buy","Sell","Buy")</f>
        <v>Sell</v>
      </c>
      <c r="X46" s="128">
        <f t="shared" ref="X46:X55" si="30">SUM(M46)</f>
        <v>4</v>
      </c>
      <c r="Y46" s="30">
        <v>1.43</v>
      </c>
      <c r="Z46" s="105">
        <f>IF(W46="Buy",X46*Y46*-1*100,X46*Y46*100)</f>
        <v>572</v>
      </c>
      <c r="AA46" s="104"/>
      <c r="AB46" s="139">
        <f t="shared" ref="AB46:AB55" si="31">SUM(O46,Z46)</f>
        <v>36</v>
      </c>
      <c r="AC46" s="355"/>
      <c r="AF46" s="531">
        <f t="shared" ref="AF46:AF54" si="32">S46</f>
        <v>0</v>
      </c>
      <c r="AG46" s="649">
        <f t="shared" ref="AG46:AG55" si="33">PRODUCT(R46,AF46)</f>
        <v>0</v>
      </c>
      <c r="AH46" s="16"/>
      <c r="AI46" s="127">
        <f>SUM(V46)</f>
        <v>45678</v>
      </c>
      <c r="AJ46" s="127" t="str">
        <f>IF(L46="Buy","Sell","Buy")</f>
        <v>Sell</v>
      </c>
      <c r="AK46" s="201">
        <f t="shared" ref="AK46:AK55" si="34">SUM(M46)</f>
        <v>4</v>
      </c>
      <c r="AL46" s="30">
        <v>1.43</v>
      </c>
      <c r="AM46" s="106">
        <f>IF(AJ46="Buy",AK46*AL46*-1*100,AK46*AL46*100)</f>
        <v>572</v>
      </c>
      <c r="AN46" s="139">
        <f t="shared" ref="AN46:AN55" si="35">SUM(O46,AM46)</f>
        <v>36</v>
      </c>
      <c r="AO46" s="58"/>
      <c r="AP46" s="58"/>
      <c r="AQ46" s="58"/>
      <c r="AR46" s="368" t="s">
        <v>5</v>
      </c>
      <c r="AS46" s="369"/>
      <c r="AT46" s="369"/>
      <c r="AU46" s="214">
        <f>SUM(AB42)</f>
        <v>45611</v>
      </c>
      <c r="AV46" s="858">
        <f>SUM(AA72)</f>
        <v>0</v>
      </c>
      <c r="AW46" s="213"/>
      <c r="AX46" s="861">
        <f ca="1">SUM(AW48,-AW47)</f>
        <v>1474</v>
      </c>
      <c r="AY46" s="219"/>
      <c r="AZ46" s="872">
        <f ca="1">SUM(AY48,-1*AY47)</f>
        <v>217</v>
      </c>
      <c r="BA46" s="911">
        <f ca="1">PRODUCT(30,1/AZ46,AX46)</f>
        <v>203.77880184331798</v>
      </c>
    </row>
    <row r="47" spans="2:59" ht="15" customHeight="1" thickTop="1" thickBot="1" x14ac:dyDescent="0.35">
      <c r="B47" s="304" t="s">
        <v>93</v>
      </c>
      <c r="C47" s="378" t="s">
        <v>61</v>
      </c>
      <c r="D47" s="378"/>
      <c r="F47" s="96" t="s">
        <v>43</v>
      </c>
      <c r="G47" s="97" t="s">
        <v>49</v>
      </c>
      <c r="H47" s="97" t="s">
        <v>45</v>
      </c>
      <c r="I47" s="9">
        <v>12</v>
      </c>
      <c r="J47" s="10">
        <v>45919</v>
      </c>
      <c r="K47" s="10">
        <v>45555</v>
      </c>
      <c r="L47" s="8" t="s">
        <v>47</v>
      </c>
      <c r="M47" s="29">
        <v>4</v>
      </c>
      <c r="N47" s="30">
        <v>1.93</v>
      </c>
      <c r="O47" s="102">
        <f>IF(L47="Buy",M47*N47*-1*100,M47*N47*100)</f>
        <v>-772</v>
      </c>
      <c r="P47" s="152"/>
      <c r="Q47" s="104">
        <f t="shared" si="26"/>
        <v>772</v>
      </c>
      <c r="R47" s="490">
        <f t="shared" ref="R47:R55" si="36">SUM(R46,Q47)</f>
        <v>1308</v>
      </c>
      <c r="S47" s="531">
        <f t="shared" si="27"/>
        <v>56</v>
      </c>
      <c r="T47" s="530">
        <f t="shared" si="28"/>
        <v>73248</v>
      </c>
      <c r="U47" s="16"/>
      <c r="V47" s="397">
        <v>45678</v>
      </c>
      <c r="W47" s="127" t="str">
        <f t="shared" si="29"/>
        <v>Sell</v>
      </c>
      <c r="X47" s="128">
        <f t="shared" si="30"/>
        <v>4</v>
      </c>
      <c r="Y47" s="30">
        <v>2.2400000000000002</v>
      </c>
      <c r="Z47" s="105">
        <f>IF(W47="Buy",X47*Y47*-1*100,X47*Y47*100)</f>
        <v>896.00000000000011</v>
      </c>
      <c r="AA47" s="104"/>
      <c r="AB47" s="139">
        <f t="shared" si="31"/>
        <v>124.00000000000011</v>
      </c>
      <c r="AC47" s="355"/>
      <c r="AF47" s="531">
        <f t="shared" si="32"/>
        <v>56</v>
      </c>
      <c r="AG47" s="649">
        <f t="shared" si="33"/>
        <v>73248</v>
      </c>
      <c r="AH47" s="16"/>
      <c r="AI47" s="127">
        <f>SUM(V47)</f>
        <v>45678</v>
      </c>
      <c r="AJ47" s="127" t="str">
        <f>IF(L47="Buy","Sell","Buy")</f>
        <v>Sell</v>
      </c>
      <c r="AK47" s="201">
        <f t="shared" si="34"/>
        <v>4</v>
      </c>
      <c r="AL47" s="30">
        <v>2.2400000000000002</v>
      </c>
      <c r="AM47" s="106">
        <f>IF(AJ47="Buy",AK47*AL47*-1*100,AK47*AL47*100)</f>
        <v>896.00000000000011</v>
      </c>
      <c r="AN47" s="139">
        <f t="shared" si="35"/>
        <v>124.00000000000011</v>
      </c>
      <c r="AO47" s="58"/>
      <c r="AP47" s="58"/>
      <c r="AQ47" s="58"/>
      <c r="AR47" s="212" t="s">
        <v>7</v>
      </c>
      <c r="AS47" s="213"/>
      <c r="AT47" s="213"/>
      <c r="AU47" s="214">
        <f ca="1">SUM(AB43)</f>
        <v>45702</v>
      </c>
      <c r="AV47" s="859"/>
      <c r="AW47" s="220">
        <f>SUM(AB68)</f>
        <v>258.00000000000017</v>
      </c>
      <c r="AX47" s="862"/>
      <c r="AY47" s="195">
        <f ca="1">SUM(AB69)</f>
        <v>91</v>
      </c>
      <c r="AZ47" s="873"/>
      <c r="BA47" s="912"/>
    </row>
    <row r="48" spans="2:59" ht="15" customHeight="1" thickTop="1" thickBot="1" x14ac:dyDescent="0.35">
      <c r="B48" s="87" t="s">
        <v>42</v>
      </c>
      <c r="C48" s="376">
        <f>_xll.EPF.Yahoo.Price("f")</f>
        <v>9.4450000000000003</v>
      </c>
      <c r="D48" s="376"/>
      <c r="F48" s="94" t="s">
        <v>43</v>
      </c>
      <c r="G48" s="121" t="s">
        <v>44</v>
      </c>
      <c r="H48" s="121" t="s">
        <v>45</v>
      </c>
      <c r="I48" s="122"/>
      <c r="J48" s="121"/>
      <c r="K48" s="44">
        <v>45611</v>
      </c>
      <c r="L48" s="121" t="s">
        <v>47</v>
      </c>
      <c r="M48" s="123">
        <v>2000</v>
      </c>
      <c r="N48" s="177">
        <v>11.02</v>
      </c>
      <c r="O48" s="124">
        <f>IF(L48="Buy",M48*N48*-1,M48*N48)</f>
        <v>-22040</v>
      </c>
      <c r="P48" s="481"/>
      <c r="Q48" s="104">
        <f t="shared" si="26"/>
        <v>22040</v>
      </c>
      <c r="R48" s="490">
        <f t="shared" si="36"/>
        <v>23348</v>
      </c>
      <c r="S48" s="531">
        <f t="shared" si="27"/>
        <v>0</v>
      </c>
      <c r="T48" s="530">
        <f t="shared" si="28"/>
        <v>0</v>
      </c>
      <c r="U48" s="178"/>
      <c r="V48" s="211">
        <f ca="1">$C$4</f>
        <v>45702</v>
      </c>
      <c r="W48" s="125" t="str">
        <f t="shared" si="29"/>
        <v>Sell</v>
      </c>
      <c r="X48" s="126">
        <f t="shared" si="30"/>
        <v>2000</v>
      </c>
      <c r="Y48" s="197">
        <f>SUM(C48)</f>
        <v>9.4450000000000003</v>
      </c>
      <c r="Z48" s="104">
        <f>IF(W48="Buy",X48*Y48*-1,X48*Y48)</f>
        <v>18890</v>
      </c>
      <c r="AA48" s="104"/>
      <c r="AB48" s="138">
        <f t="shared" si="31"/>
        <v>-3150</v>
      </c>
      <c r="AF48" s="531">
        <f t="shared" si="32"/>
        <v>0</v>
      </c>
      <c r="AG48" s="649">
        <f t="shared" si="33"/>
        <v>0</v>
      </c>
      <c r="AH48" s="178"/>
      <c r="AI48" s="125">
        <f>SUM(J49)</f>
        <v>45919</v>
      </c>
      <c r="AJ48" s="125" t="str">
        <f>IF(L48="Buy","Sell","Buy")</f>
        <v>Sell</v>
      </c>
      <c r="AK48" s="195">
        <f t="shared" si="34"/>
        <v>2000</v>
      </c>
      <c r="AL48" s="200">
        <f>C48</f>
        <v>9.4450000000000003</v>
      </c>
      <c r="AM48" s="104">
        <f>IF(AJ48="Buy",AK48*AL48*-1,AK48*AL48)</f>
        <v>18890</v>
      </c>
      <c r="AN48" s="138">
        <f t="shared" si="35"/>
        <v>-3150</v>
      </c>
      <c r="AO48" s="58"/>
      <c r="AP48" s="58"/>
      <c r="AQ48" s="58"/>
      <c r="AR48" s="215" t="s">
        <v>50</v>
      </c>
      <c r="AS48" s="216"/>
      <c r="AT48" s="216"/>
      <c r="AU48" s="214">
        <f>SUM(AN43)</f>
        <v>45919</v>
      </c>
      <c r="AV48" s="860"/>
      <c r="AW48" s="221">
        <f ca="1">SUM(AN68)</f>
        <v>1732.0000000000002</v>
      </c>
      <c r="AX48" s="863"/>
      <c r="AY48" s="222">
        <f>SUM(AN69)</f>
        <v>308</v>
      </c>
      <c r="AZ48" s="874"/>
      <c r="BA48" s="913"/>
    </row>
    <row r="49" spans="2:52" ht="15" customHeight="1" thickTop="1" thickBot="1" x14ac:dyDescent="0.35">
      <c r="B49" s="88" t="s">
        <v>48</v>
      </c>
      <c r="C49" s="79">
        <f>_xll.EPF.Yahoo.Price("F250919P00010000")</f>
        <v>1.35</v>
      </c>
      <c r="D49" s="79"/>
      <c r="F49" s="94" t="s">
        <v>43</v>
      </c>
      <c r="G49" s="49" t="s">
        <v>49</v>
      </c>
      <c r="H49" s="49" t="s">
        <v>45</v>
      </c>
      <c r="I49" s="43">
        <v>10</v>
      </c>
      <c r="J49" s="44">
        <v>45919</v>
      </c>
      <c r="K49" s="44">
        <v>45611</v>
      </c>
      <c r="L49" s="40" t="s">
        <v>47</v>
      </c>
      <c r="M49" s="41">
        <v>12</v>
      </c>
      <c r="N49" s="42">
        <v>0.86</v>
      </c>
      <c r="O49" s="100">
        <f t="shared" ref="O49:O55" si="37">IF(L49="Buy",M49*N49*-1*100,M49*N49*100)</f>
        <v>-1032</v>
      </c>
      <c r="P49" s="152"/>
      <c r="Q49" s="104">
        <f t="shared" si="26"/>
        <v>1032</v>
      </c>
      <c r="R49" s="490">
        <f t="shared" si="36"/>
        <v>24380</v>
      </c>
      <c r="S49" s="531">
        <f t="shared" si="27"/>
        <v>0</v>
      </c>
      <c r="T49" s="530">
        <f t="shared" si="28"/>
        <v>0</v>
      </c>
      <c r="U49" s="16"/>
      <c r="V49" s="211">
        <f ca="1">$C$4</f>
        <v>45702</v>
      </c>
      <c r="W49" s="125" t="str">
        <f t="shared" si="29"/>
        <v>Sell</v>
      </c>
      <c r="X49" s="126">
        <f t="shared" si="30"/>
        <v>12</v>
      </c>
      <c r="Y49" s="197">
        <f>SUM(C49)</f>
        <v>1.35</v>
      </c>
      <c r="Z49" s="103">
        <f t="shared" ref="Z49:Z55" si="38">IF(W49="Buy",X49*Y49*-1*100,X49*Y49*100)</f>
        <v>1620.0000000000002</v>
      </c>
      <c r="AA49" s="104"/>
      <c r="AB49" s="138">
        <f t="shared" si="31"/>
        <v>588.00000000000023</v>
      </c>
      <c r="AF49" s="531">
        <f t="shared" si="32"/>
        <v>0</v>
      </c>
      <c r="AG49" s="649">
        <f t="shared" si="33"/>
        <v>0</v>
      </c>
      <c r="AH49" s="16"/>
      <c r="AI49" s="125">
        <f>SUM(J49)</f>
        <v>45919</v>
      </c>
      <c r="AJ49" s="125" t="str">
        <f>IF(L49="Buy","Sell","Buy")</f>
        <v>Sell</v>
      </c>
      <c r="AK49" s="195">
        <f t="shared" si="34"/>
        <v>12</v>
      </c>
      <c r="AL49" s="197">
        <f>IF(I49-C48&lt;0,0,I49-C48)</f>
        <v>0.55499999999999972</v>
      </c>
      <c r="AM49" s="104">
        <f t="shared" ref="AM49:AM55" si="39">IF(AJ49="Buy",AK49*AL49*-1*100,AK49*AL49*100)</f>
        <v>665.99999999999966</v>
      </c>
      <c r="AN49" s="138">
        <f t="shared" si="35"/>
        <v>-366.00000000000034</v>
      </c>
      <c r="AO49" s="58"/>
      <c r="AP49" s="58"/>
      <c r="AQ49" s="58"/>
    </row>
    <row r="50" spans="2:52" ht="15" customHeight="1" thickTop="1" x14ac:dyDescent="0.3">
      <c r="B50" s="88" t="s">
        <v>48</v>
      </c>
      <c r="C50" s="79">
        <f>_xll.EPF.Yahoo.Price("F250919P00010000")</f>
        <v>1.35</v>
      </c>
      <c r="D50" s="79"/>
      <c r="F50" s="94" t="s">
        <v>43</v>
      </c>
      <c r="G50" s="49" t="s">
        <v>49</v>
      </c>
      <c r="H50" s="49" t="s">
        <v>51</v>
      </c>
      <c r="I50" s="43">
        <v>10</v>
      </c>
      <c r="J50" s="44">
        <v>45919</v>
      </c>
      <c r="K50" s="44">
        <v>45611</v>
      </c>
      <c r="L50" s="40" t="s">
        <v>47</v>
      </c>
      <c r="M50" s="41">
        <v>6</v>
      </c>
      <c r="N50" s="42">
        <v>0.86</v>
      </c>
      <c r="O50" s="100">
        <f t="shared" si="37"/>
        <v>-516</v>
      </c>
      <c r="P50" s="152"/>
      <c r="Q50" s="104">
        <f t="shared" si="26"/>
        <v>516</v>
      </c>
      <c r="R50" s="490">
        <f t="shared" si="36"/>
        <v>24896</v>
      </c>
      <c r="S50" s="531">
        <f t="shared" si="27"/>
        <v>0</v>
      </c>
      <c r="T50" s="530">
        <f t="shared" si="28"/>
        <v>0</v>
      </c>
      <c r="U50" s="16"/>
      <c r="V50" s="10">
        <v>45618</v>
      </c>
      <c r="W50" s="127" t="str">
        <f t="shared" si="29"/>
        <v>Sell</v>
      </c>
      <c r="X50" s="128">
        <f t="shared" si="30"/>
        <v>6</v>
      </c>
      <c r="Y50" s="394">
        <v>0.76</v>
      </c>
      <c r="Z50" s="105">
        <f t="shared" si="38"/>
        <v>456.00000000000006</v>
      </c>
      <c r="AA50" s="137">
        <f>IF(H50="Yes",O50*-1,0)</f>
        <v>0</v>
      </c>
      <c r="AB50" s="139">
        <f t="shared" si="31"/>
        <v>-59.999999999999943</v>
      </c>
      <c r="AF50" s="531">
        <f t="shared" si="32"/>
        <v>0</v>
      </c>
      <c r="AG50" s="649">
        <f t="shared" si="33"/>
        <v>0</v>
      </c>
      <c r="AH50" s="16"/>
      <c r="AI50" s="127">
        <f>SUM(V50)</f>
        <v>45618</v>
      </c>
      <c r="AJ50" s="464" t="s">
        <v>47</v>
      </c>
      <c r="AK50" s="201">
        <f t="shared" si="34"/>
        <v>6</v>
      </c>
      <c r="AL50" s="30">
        <v>0.76</v>
      </c>
      <c r="AM50" s="310">
        <f t="shared" si="39"/>
        <v>-456.00000000000006</v>
      </c>
      <c r="AN50" s="139">
        <f t="shared" si="35"/>
        <v>-972</v>
      </c>
      <c r="AO50" s="58"/>
      <c r="AP50" s="58"/>
      <c r="AQ50" s="58"/>
      <c r="AR50" s="298" t="s">
        <v>52</v>
      </c>
      <c r="AS50" s="295"/>
      <c r="AT50" s="295"/>
      <c r="AU50" s="295"/>
      <c r="AV50" s="295"/>
      <c r="AW50" s="297"/>
      <c r="AX50" s="297"/>
      <c r="AY50" s="297"/>
      <c r="AZ50" s="297"/>
    </row>
    <row r="51" spans="2:52" ht="15" customHeight="1" x14ac:dyDescent="0.3">
      <c r="B51" s="66" t="s">
        <v>67</v>
      </c>
      <c r="C51" s="378" t="s">
        <v>61</v>
      </c>
      <c r="D51" s="378"/>
      <c r="F51" s="96" t="s">
        <v>43</v>
      </c>
      <c r="G51" s="97" t="s">
        <v>62</v>
      </c>
      <c r="H51" s="97" t="s">
        <v>51</v>
      </c>
      <c r="I51" s="9">
        <v>11</v>
      </c>
      <c r="J51" s="10">
        <v>45639</v>
      </c>
      <c r="K51" s="10">
        <v>45611</v>
      </c>
      <c r="L51" s="8" t="s">
        <v>63</v>
      </c>
      <c r="M51" s="29">
        <v>20</v>
      </c>
      <c r="N51" s="30">
        <v>0.37</v>
      </c>
      <c r="O51" s="102">
        <f t="shared" si="37"/>
        <v>740</v>
      </c>
      <c r="P51" s="152"/>
      <c r="Q51" s="104">
        <f t="shared" si="26"/>
        <v>-740</v>
      </c>
      <c r="R51" s="490">
        <f t="shared" si="36"/>
        <v>24156</v>
      </c>
      <c r="S51" s="531">
        <f t="shared" si="27"/>
        <v>25</v>
      </c>
      <c r="T51" s="530">
        <f t="shared" si="28"/>
        <v>603900</v>
      </c>
      <c r="U51" s="16"/>
      <c r="V51" s="10">
        <v>45636</v>
      </c>
      <c r="W51" s="127" t="str">
        <f t="shared" si="29"/>
        <v>Buy</v>
      </c>
      <c r="X51" s="128">
        <f t="shared" si="30"/>
        <v>20</v>
      </c>
      <c r="Y51" s="30">
        <v>0.02</v>
      </c>
      <c r="Z51" s="105">
        <f t="shared" si="38"/>
        <v>-40</v>
      </c>
      <c r="AA51" s="54">
        <f>IF(H51="Yes",O51*-1,0)</f>
        <v>0</v>
      </c>
      <c r="AB51" s="139">
        <f t="shared" si="31"/>
        <v>700</v>
      </c>
      <c r="AF51" s="531">
        <f t="shared" si="32"/>
        <v>25</v>
      </c>
      <c r="AG51" s="649">
        <f t="shared" si="33"/>
        <v>603900</v>
      </c>
      <c r="AH51" s="16"/>
      <c r="AI51" s="127">
        <f>SUM(V51)</f>
        <v>45636</v>
      </c>
      <c r="AJ51" s="127" t="str">
        <f>IF(L51="Buy","Sell","Buy")</f>
        <v>Buy</v>
      </c>
      <c r="AK51" s="201">
        <f t="shared" si="34"/>
        <v>20</v>
      </c>
      <c r="AL51" s="30">
        <v>0.02</v>
      </c>
      <c r="AM51" s="105">
        <f t="shared" si="39"/>
        <v>-40</v>
      </c>
      <c r="AN51" s="139">
        <f t="shared" si="35"/>
        <v>700</v>
      </c>
      <c r="AO51" s="58"/>
      <c r="AP51" s="58"/>
      <c r="AQ51" s="58"/>
      <c r="AR51" s="284" t="s">
        <v>53</v>
      </c>
      <c r="AS51" s="283"/>
      <c r="AT51" s="283"/>
      <c r="AU51" s="287"/>
      <c r="AV51" s="289">
        <f>SUM(AU46)</f>
        <v>45611</v>
      </c>
    </row>
    <row r="52" spans="2:52" ht="15" customHeight="1" x14ac:dyDescent="0.3">
      <c r="B52" s="66" t="s">
        <v>69</v>
      </c>
      <c r="C52" s="378" t="s">
        <v>61</v>
      </c>
      <c r="D52" s="378"/>
      <c r="F52" s="98" t="s">
        <v>43</v>
      </c>
      <c r="G52" s="97" t="s">
        <v>62</v>
      </c>
      <c r="H52" s="97" t="s">
        <v>51</v>
      </c>
      <c r="I52" s="9">
        <v>10.5</v>
      </c>
      <c r="J52" s="10">
        <v>45667</v>
      </c>
      <c r="K52" s="10">
        <v>45636</v>
      </c>
      <c r="L52" s="8" t="s">
        <v>63</v>
      </c>
      <c r="M52" s="8">
        <v>20</v>
      </c>
      <c r="N52" s="30">
        <v>0.43</v>
      </c>
      <c r="O52" s="102">
        <f t="shared" si="37"/>
        <v>860</v>
      </c>
      <c r="P52" s="152"/>
      <c r="Q52" s="104">
        <f t="shared" si="26"/>
        <v>-860</v>
      </c>
      <c r="R52" s="490">
        <f t="shared" si="36"/>
        <v>23296</v>
      </c>
      <c r="S52" s="531">
        <f t="shared" si="27"/>
        <v>13</v>
      </c>
      <c r="T52" s="530">
        <f t="shared" si="28"/>
        <v>302848</v>
      </c>
      <c r="U52" s="16"/>
      <c r="V52" s="10">
        <v>45652</v>
      </c>
      <c r="W52" s="127" t="str">
        <f t="shared" si="29"/>
        <v>Buy</v>
      </c>
      <c r="X52" s="128">
        <f t="shared" si="30"/>
        <v>20</v>
      </c>
      <c r="Y52" s="30">
        <v>0.06</v>
      </c>
      <c r="Z52" s="105">
        <f t="shared" si="38"/>
        <v>-120</v>
      </c>
      <c r="AA52" s="54">
        <f>IF(H52="Yes",O52*-1,0)</f>
        <v>0</v>
      </c>
      <c r="AB52" s="139">
        <f t="shared" si="31"/>
        <v>740</v>
      </c>
      <c r="AF52" s="531">
        <f t="shared" si="32"/>
        <v>13</v>
      </c>
      <c r="AG52" s="649">
        <f t="shared" si="33"/>
        <v>302848</v>
      </c>
      <c r="AH52" s="16"/>
      <c r="AI52" s="127">
        <f>SUM(V52)</f>
        <v>45652</v>
      </c>
      <c r="AJ52" s="127" t="str">
        <f>IF(L52="Buy","Sell","Buy")</f>
        <v>Buy</v>
      </c>
      <c r="AK52" s="201">
        <f t="shared" si="34"/>
        <v>20</v>
      </c>
      <c r="AL52" s="30">
        <v>0.06</v>
      </c>
      <c r="AM52" s="105">
        <f t="shared" si="39"/>
        <v>-120</v>
      </c>
      <c r="AN52" s="139">
        <f t="shared" si="35"/>
        <v>740</v>
      </c>
      <c r="AO52" s="58"/>
      <c r="AP52" s="58"/>
      <c r="AQ52" s="58"/>
      <c r="AR52" s="284" t="s">
        <v>55</v>
      </c>
      <c r="AS52" s="283"/>
      <c r="AT52" s="283"/>
      <c r="AU52" s="287"/>
      <c r="AV52" s="289">
        <f>SUM(AU48)</f>
        <v>45919</v>
      </c>
    </row>
    <row r="53" spans="2:52" ht="15" customHeight="1" thickBot="1" x14ac:dyDescent="0.35">
      <c r="B53" s="304" t="s">
        <v>71</v>
      </c>
      <c r="C53" s="378" t="s">
        <v>61</v>
      </c>
      <c r="D53" s="378"/>
      <c r="F53" s="98" t="s">
        <v>43</v>
      </c>
      <c r="G53" s="97" t="s">
        <v>62</v>
      </c>
      <c r="H53" s="97" t="s">
        <v>51</v>
      </c>
      <c r="I53" s="9">
        <v>10</v>
      </c>
      <c r="J53" s="10">
        <v>45681</v>
      </c>
      <c r="K53" s="10">
        <v>45649</v>
      </c>
      <c r="L53" s="8" t="s">
        <v>63</v>
      </c>
      <c r="M53" s="8">
        <v>20</v>
      </c>
      <c r="N53" s="30">
        <v>0.28000000000000003</v>
      </c>
      <c r="O53" s="102">
        <f t="shared" si="37"/>
        <v>560</v>
      </c>
      <c r="P53" s="152"/>
      <c r="Q53" s="104">
        <f t="shared" si="26"/>
        <v>-560</v>
      </c>
      <c r="R53" s="490">
        <f t="shared" si="36"/>
        <v>22736</v>
      </c>
      <c r="S53" s="531">
        <f t="shared" si="27"/>
        <v>16</v>
      </c>
      <c r="T53" s="530">
        <f t="shared" si="28"/>
        <v>363776</v>
      </c>
      <c r="U53" s="16"/>
      <c r="V53" s="397">
        <f ca="1">$C$4</f>
        <v>45702</v>
      </c>
      <c r="W53" s="127" t="str">
        <f t="shared" si="29"/>
        <v>Buy</v>
      </c>
      <c r="X53" s="128">
        <f t="shared" si="30"/>
        <v>20</v>
      </c>
      <c r="Y53" s="30">
        <v>0.13</v>
      </c>
      <c r="Z53" s="105">
        <f t="shared" si="38"/>
        <v>-260</v>
      </c>
      <c r="AA53" s="54">
        <f>IF(H53="Yes",O53*-1,0)</f>
        <v>0</v>
      </c>
      <c r="AB53" s="139">
        <f t="shared" si="31"/>
        <v>300</v>
      </c>
      <c r="AF53" s="531">
        <f t="shared" si="32"/>
        <v>16</v>
      </c>
      <c r="AG53" s="649">
        <f t="shared" si="33"/>
        <v>363776</v>
      </c>
      <c r="AH53" s="16"/>
      <c r="AI53" s="127">
        <f ca="1">SUM(V53)</f>
        <v>45702</v>
      </c>
      <c r="AJ53" s="127" t="str">
        <f>IF(L53="Buy","Sell","Buy")</f>
        <v>Buy</v>
      </c>
      <c r="AK53" s="201">
        <f t="shared" si="34"/>
        <v>20</v>
      </c>
      <c r="AL53" s="30">
        <v>0.13</v>
      </c>
      <c r="AM53" s="105">
        <f t="shared" si="39"/>
        <v>-260</v>
      </c>
      <c r="AN53" s="139">
        <f t="shared" si="35"/>
        <v>300</v>
      </c>
      <c r="AR53" s="282" t="s">
        <v>56</v>
      </c>
      <c r="AS53" s="282"/>
      <c r="AT53" s="282"/>
      <c r="AU53" s="291"/>
      <c r="AV53" s="292">
        <v>45698</v>
      </c>
    </row>
    <row r="54" spans="2:52" ht="15" customHeight="1" thickTop="1" x14ac:dyDescent="0.3">
      <c r="B54" s="304" t="s">
        <v>189</v>
      </c>
      <c r="C54" s="378" t="s">
        <v>61</v>
      </c>
      <c r="D54" s="80"/>
      <c r="F54" s="598" t="s">
        <v>180</v>
      </c>
      <c r="G54" s="592" t="s">
        <v>62</v>
      </c>
      <c r="H54" s="592"/>
      <c r="I54" s="593">
        <v>9.5</v>
      </c>
      <c r="J54" s="424">
        <v>45695</v>
      </c>
      <c r="K54" s="424">
        <v>45665</v>
      </c>
      <c r="L54" s="594" t="s">
        <v>63</v>
      </c>
      <c r="M54" s="594">
        <v>20</v>
      </c>
      <c r="N54" s="596">
        <v>0.53</v>
      </c>
      <c r="O54" s="102">
        <f t="shared" si="37"/>
        <v>1060.0000000000002</v>
      </c>
      <c r="P54" s="152"/>
      <c r="Q54" s="104">
        <f t="shared" si="26"/>
        <v>-1060.0000000000002</v>
      </c>
      <c r="R54" s="490">
        <f t="shared" si="36"/>
        <v>21676</v>
      </c>
      <c r="S54" s="531">
        <f t="shared" si="27"/>
        <v>30</v>
      </c>
      <c r="T54" s="530">
        <f t="shared" si="28"/>
        <v>650280</v>
      </c>
      <c r="U54" s="17"/>
      <c r="V54" s="424">
        <v>45695</v>
      </c>
      <c r="W54" s="127" t="str">
        <f t="shared" si="29"/>
        <v>Buy</v>
      </c>
      <c r="X54" s="128">
        <f t="shared" si="30"/>
        <v>20</v>
      </c>
      <c r="Y54" s="394">
        <v>0.02</v>
      </c>
      <c r="Z54" s="105">
        <f t="shared" si="38"/>
        <v>-40</v>
      </c>
      <c r="AA54" s="137"/>
      <c r="AB54" s="139">
        <f t="shared" si="31"/>
        <v>1020.0000000000002</v>
      </c>
      <c r="AF54" s="531">
        <f t="shared" si="32"/>
        <v>30</v>
      </c>
      <c r="AG54" s="649">
        <f t="shared" si="33"/>
        <v>650280</v>
      </c>
      <c r="AH54" s="16"/>
      <c r="AI54" s="127">
        <v>45695</v>
      </c>
      <c r="AJ54" s="127" t="str">
        <f>IF(L54="Buy","Sell","Buy")</f>
        <v>Buy</v>
      </c>
      <c r="AK54" s="201">
        <f t="shared" si="34"/>
        <v>20</v>
      </c>
      <c r="AL54" s="394">
        <v>0.02</v>
      </c>
      <c r="AM54" s="106">
        <f t="shared" si="39"/>
        <v>-40</v>
      </c>
      <c r="AN54" s="139">
        <f t="shared" si="35"/>
        <v>1020.0000000000002</v>
      </c>
      <c r="AR54" s="284" t="s">
        <v>57</v>
      </c>
      <c r="AS54" s="283"/>
      <c r="AT54" s="283"/>
      <c r="AU54" s="287"/>
      <c r="AV54" s="289">
        <f ca="1">SUM(AU47)</f>
        <v>45702</v>
      </c>
    </row>
    <row r="55" spans="2:52" ht="15" customHeight="1" x14ac:dyDescent="0.3">
      <c r="B55" s="88" t="s">
        <v>224</v>
      </c>
      <c r="C55" s="80">
        <f>_xll.EPF.Yahoo.Price("F250307C00009500")</f>
        <v>0.17</v>
      </c>
      <c r="D55" s="80"/>
      <c r="F55" s="599" t="s">
        <v>180</v>
      </c>
      <c r="G55" s="586" t="s">
        <v>62</v>
      </c>
      <c r="H55" s="586"/>
      <c r="I55" s="587">
        <v>9.5</v>
      </c>
      <c r="J55" s="582">
        <v>45723</v>
      </c>
      <c r="K55" s="582">
        <v>45695</v>
      </c>
      <c r="L55" s="588" t="s">
        <v>63</v>
      </c>
      <c r="M55" s="588">
        <v>20</v>
      </c>
      <c r="N55" s="590">
        <v>0.15</v>
      </c>
      <c r="O55" s="100">
        <f t="shared" si="37"/>
        <v>300</v>
      </c>
      <c r="P55" s="152"/>
      <c r="Q55" s="104">
        <f t="shared" si="26"/>
        <v>-300</v>
      </c>
      <c r="R55" s="490">
        <f t="shared" si="36"/>
        <v>21376</v>
      </c>
      <c r="S55" s="531">
        <f ca="1">_xlfn.DAYS(TODAY(),K55)</f>
        <v>7</v>
      </c>
      <c r="T55" s="530">
        <f t="shared" ca="1" si="28"/>
        <v>149632</v>
      </c>
      <c r="U55" s="16"/>
      <c r="V55" s="125">
        <f ca="1">$C$4</f>
        <v>45702</v>
      </c>
      <c r="W55" s="125" t="str">
        <f t="shared" si="29"/>
        <v>Buy</v>
      </c>
      <c r="X55" s="126">
        <f t="shared" si="30"/>
        <v>20</v>
      </c>
      <c r="Y55" s="197">
        <f>SUM(C55)</f>
        <v>0.17</v>
      </c>
      <c r="Z55" s="103">
        <f t="shared" si="38"/>
        <v>-340.00000000000006</v>
      </c>
      <c r="AA55" s="137"/>
      <c r="AB55" s="138">
        <f t="shared" si="31"/>
        <v>-40.000000000000057</v>
      </c>
      <c r="AF55" s="531">
        <f>_xlfn.DAYS(AN43,K55)</f>
        <v>224</v>
      </c>
      <c r="AG55" s="649">
        <f t="shared" si="33"/>
        <v>4788224</v>
      </c>
      <c r="AH55" s="265"/>
      <c r="AI55" s="582" t="s">
        <v>225</v>
      </c>
      <c r="AJ55" s="125" t="str">
        <f>IF(L55="Buy","Sell","Buy")</f>
        <v>Buy</v>
      </c>
      <c r="AK55" s="195">
        <f t="shared" si="34"/>
        <v>20</v>
      </c>
      <c r="AL55" s="197">
        <f>IF(I55-C49&gt;0,0,C49-I55)</f>
        <v>0</v>
      </c>
      <c r="AM55" s="104">
        <f t="shared" si="39"/>
        <v>0</v>
      </c>
      <c r="AN55" s="138">
        <f t="shared" si="35"/>
        <v>300</v>
      </c>
      <c r="AR55" s="284" t="s">
        <v>58</v>
      </c>
      <c r="AS55" s="283"/>
      <c r="AT55" s="283"/>
      <c r="AU55" s="287"/>
      <c r="AV55" s="290" t="s">
        <v>59</v>
      </c>
    </row>
    <row r="56" spans="2:52" ht="15" customHeight="1" x14ac:dyDescent="0.3">
      <c r="F56" s="129"/>
      <c r="G56" s="14"/>
      <c r="H56" s="180"/>
      <c r="I56" s="12"/>
      <c r="J56" s="180"/>
      <c r="K56" s="72"/>
      <c r="L56" s="180"/>
      <c r="M56" s="17"/>
      <c r="N56" s="181"/>
      <c r="O56" s="133"/>
      <c r="P56" s="152"/>
      <c r="Q56" s="17"/>
      <c r="R56" s="486"/>
      <c r="S56" s="152"/>
      <c r="T56" s="486"/>
      <c r="U56" s="133"/>
      <c r="V56" s="17"/>
      <c r="W56" s="17"/>
      <c r="X56" s="17"/>
      <c r="Y56" s="77"/>
      <c r="Z56" s="133"/>
      <c r="AA56" s="133"/>
      <c r="AB56" s="132"/>
      <c r="AH56" s="13"/>
      <c r="AI56" s="13"/>
      <c r="AJ56" s="12"/>
      <c r="AK56" s="12"/>
      <c r="AL56" s="12"/>
      <c r="AM56" s="12"/>
      <c r="AN56" s="202"/>
      <c r="AO56" s="2"/>
      <c r="AP56" s="2"/>
      <c r="AQ56" s="2"/>
      <c r="AR56" s="284" t="s">
        <v>64</v>
      </c>
      <c r="AS56" s="283"/>
      <c r="AT56" s="283"/>
      <c r="AU56" s="287"/>
      <c r="AV56" s="294" cm="1">
        <f t="array" aca="1" ref="AV56" ca="1">NPendingEvents(AV51,AV52,AV53,AV54,AV55)</f>
        <v>2</v>
      </c>
    </row>
    <row r="57" spans="2:52" ht="15" customHeight="1" x14ac:dyDescent="0.3">
      <c r="F57" s="129"/>
      <c r="G57" s="14"/>
      <c r="H57" s="12"/>
      <c r="I57" s="12"/>
      <c r="J57" s="180"/>
      <c r="K57" s="72"/>
      <c r="L57" s="180"/>
      <c r="M57" s="17"/>
      <c r="N57" s="181"/>
      <c r="O57" s="133"/>
      <c r="P57" s="152"/>
      <c r="Q57" s="17"/>
      <c r="R57" s="486"/>
      <c r="S57" s="152"/>
      <c r="T57" s="486"/>
      <c r="U57" s="133"/>
      <c r="V57" s="17"/>
      <c r="W57" s="17"/>
      <c r="X57" s="17"/>
      <c r="Y57" s="77"/>
      <c r="Z57" s="133"/>
      <c r="AA57" s="133"/>
      <c r="AB57" s="132"/>
      <c r="AH57" s="13"/>
      <c r="AI57" s="12"/>
      <c r="AJ57" s="12"/>
      <c r="AK57" s="73"/>
      <c r="AL57" s="12"/>
      <c r="AM57" s="12"/>
      <c r="AN57" s="264"/>
      <c r="AO57" s="2"/>
      <c r="AP57" s="2"/>
      <c r="AQ57" s="2"/>
      <c r="AR57" s="282" t="s">
        <v>66</v>
      </c>
      <c r="AS57" s="282"/>
      <c r="AT57" s="282"/>
      <c r="AU57" s="288"/>
      <c r="AV57" s="293">
        <v>0.15</v>
      </c>
    </row>
    <row r="58" spans="2:52" ht="15" customHeight="1" x14ac:dyDescent="0.3">
      <c r="F58" s="129"/>
      <c r="G58" s="14"/>
      <c r="H58" s="12"/>
      <c r="I58" s="12"/>
      <c r="J58" s="12"/>
      <c r="K58" s="72"/>
      <c r="L58" s="180"/>
      <c r="M58" s="17"/>
      <c r="N58" s="181"/>
      <c r="O58" s="133"/>
      <c r="P58" s="152"/>
      <c r="Q58" s="17"/>
      <c r="R58" s="486"/>
      <c r="S58" s="152"/>
      <c r="T58" s="486"/>
      <c r="U58" s="133"/>
      <c r="V58" s="17"/>
      <c r="W58" s="17"/>
      <c r="X58" s="17"/>
      <c r="Y58" s="77"/>
      <c r="Z58" s="133"/>
      <c r="AA58" s="133"/>
      <c r="AB58" s="132"/>
      <c r="AH58" s="13"/>
      <c r="AI58" s="12"/>
      <c r="AJ58" s="12"/>
      <c r="AK58" s="12"/>
      <c r="AL58" s="12"/>
      <c r="AM58" s="12"/>
      <c r="AN58" s="202"/>
      <c r="AR58" s="284" t="s">
        <v>68</v>
      </c>
      <c r="AS58" s="283"/>
      <c r="AT58" s="283"/>
      <c r="AU58" s="287"/>
      <c r="AV58" s="294">
        <f>SUM(M48)</f>
        <v>2000</v>
      </c>
    </row>
    <row r="59" spans="2:52" ht="15" customHeight="1" x14ac:dyDescent="0.3">
      <c r="F59" s="745"/>
      <c r="G59" s="14"/>
      <c r="H59" s="12"/>
      <c r="I59" s="12"/>
      <c r="J59" s="12"/>
      <c r="K59" s="17"/>
      <c r="L59" s="17"/>
      <c r="M59" s="17"/>
      <c r="N59" s="181"/>
      <c r="O59" s="133"/>
      <c r="P59" s="152"/>
      <c r="Q59" s="17"/>
      <c r="R59" s="486"/>
      <c r="S59" s="152"/>
      <c r="T59" s="486"/>
      <c r="U59" s="133"/>
      <c r="V59" s="17"/>
      <c r="W59" s="17"/>
      <c r="X59" s="17"/>
      <c r="Y59" s="133"/>
      <c r="Z59" s="133"/>
      <c r="AA59" s="133"/>
      <c r="AB59" s="132"/>
      <c r="AR59" s="284" t="s">
        <v>70</v>
      </c>
      <c r="AS59" s="283"/>
      <c r="AT59" s="283"/>
      <c r="AU59" s="287"/>
      <c r="AV59" s="296">
        <f>PRODUCT(AV57,AV58)</f>
        <v>300</v>
      </c>
    </row>
    <row r="60" spans="2:52" ht="15" customHeight="1" x14ac:dyDescent="0.3">
      <c r="F60" s="745"/>
      <c r="G60" s="14"/>
      <c r="H60" s="12"/>
      <c r="I60" s="12"/>
      <c r="J60" s="12"/>
      <c r="K60" s="17"/>
      <c r="L60" s="17"/>
      <c r="M60" s="17"/>
      <c r="N60" s="181"/>
      <c r="O60" s="133"/>
      <c r="P60" s="152"/>
      <c r="Q60" s="17"/>
      <c r="R60" s="486"/>
      <c r="S60" s="152"/>
      <c r="T60" s="486"/>
      <c r="U60" s="133"/>
      <c r="V60" s="17"/>
      <c r="W60" s="17"/>
      <c r="X60" s="17"/>
      <c r="Y60" s="133"/>
      <c r="Z60" s="133"/>
      <c r="AA60" s="133"/>
      <c r="AB60" s="132"/>
      <c r="AR60" s="284" t="s">
        <v>72</v>
      </c>
      <c r="AS60" s="283"/>
      <c r="AT60" s="283"/>
      <c r="AU60" s="287"/>
      <c r="AV60" s="296">
        <f ca="1">PRODUCT(AV59,AV56)</f>
        <v>600</v>
      </c>
    </row>
    <row r="61" spans="2:52" ht="15" customHeight="1" x14ac:dyDescent="0.3">
      <c r="F61" s="745"/>
      <c r="G61" s="14"/>
      <c r="H61" s="12"/>
      <c r="I61" s="12"/>
      <c r="J61" s="12"/>
      <c r="K61" s="17"/>
      <c r="L61" s="17"/>
      <c r="M61" s="17"/>
      <c r="N61" s="181"/>
      <c r="O61" s="133"/>
      <c r="P61" s="152"/>
      <c r="Q61" s="17"/>
      <c r="R61" s="486"/>
      <c r="S61" s="152"/>
      <c r="T61" s="486"/>
      <c r="U61" s="133"/>
      <c r="V61" s="17"/>
      <c r="W61" s="17"/>
      <c r="X61" s="17"/>
      <c r="Y61" s="133"/>
      <c r="Z61" s="133"/>
      <c r="AA61" s="133"/>
      <c r="AB61" s="132"/>
    </row>
    <row r="62" spans="2:52" ht="15" customHeight="1" x14ac:dyDescent="0.35">
      <c r="F62" s="745"/>
      <c r="G62" s="14"/>
      <c r="H62" s="12"/>
      <c r="I62" s="12"/>
      <c r="J62" s="12"/>
      <c r="K62" s="17"/>
      <c r="L62" s="17"/>
      <c r="M62" s="17"/>
      <c r="N62" s="181"/>
      <c r="O62" s="133"/>
      <c r="P62" s="152"/>
      <c r="Q62" s="17"/>
      <c r="R62" s="486"/>
      <c r="S62" s="152"/>
      <c r="T62" s="486"/>
      <c r="U62" s="133"/>
      <c r="V62" s="17"/>
      <c r="W62" s="17"/>
      <c r="X62" s="17"/>
      <c r="Y62" s="133"/>
      <c r="Z62" s="133"/>
      <c r="AA62" s="133"/>
      <c r="AB62" s="132"/>
      <c r="AD62" s="749" t="s">
        <v>244</v>
      </c>
      <c r="AR62" s="298" t="s">
        <v>73</v>
      </c>
      <c r="AS62" s="284"/>
      <c r="AT62" s="284"/>
      <c r="AU62" s="302"/>
      <c r="AV62" s="295"/>
    </row>
    <row r="63" spans="2:52" ht="15" customHeight="1" x14ac:dyDescent="0.3">
      <c r="F63" s="745"/>
      <c r="G63" s="14"/>
      <c r="H63" s="12"/>
      <c r="I63" s="12"/>
      <c r="J63" s="12"/>
      <c r="K63" s="17"/>
      <c r="L63" s="17"/>
      <c r="M63" s="17"/>
      <c r="N63" s="181"/>
      <c r="O63" s="133"/>
      <c r="P63" s="152"/>
      <c r="Q63" s="17"/>
      <c r="R63" s="486"/>
      <c r="S63" s="152"/>
      <c r="T63" s="486"/>
      <c r="U63" s="133"/>
      <c r="V63" s="17"/>
      <c r="W63" s="17"/>
      <c r="X63" s="17"/>
      <c r="Y63" s="133"/>
      <c r="Z63" s="133"/>
      <c r="AA63" s="133"/>
      <c r="AB63" s="132"/>
      <c r="AR63" s="284" t="s">
        <v>53</v>
      </c>
      <c r="AS63" s="284"/>
      <c r="AT63" s="284"/>
      <c r="AU63" s="302"/>
      <c r="AV63" s="289">
        <f>SUM(AU46)</f>
        <v>45611</v>
      </c>
    </row>
    <row r="64" spans="2:52" ht="15" customHeight="1" x14ac:dyDescent="0.3">
      <c r="B64" s="7"/>
      <c r="C64" s="2"/>
      <c r="D64" s="2"/>
      <c r="F64" s="140"/>
      <c r="G64" s="72"/>
      <c r="H64" s="72"/>
      <c r="I64" s="454"/>
      <c r="J64" s="15"/>
      <c r="K64" s="15"/>
      <c r="L64" s="12"/>
      <c r="M64" s="12"/>
      <c r="N64" s="77"/>
      <c r="O64" s="134"/>
      <c r="P64" s="152"/>
      <c r="Q64" s="17"/>
      <c r="R64" s="486"/>
      <c r="S64" s="152"/>
      <c r="T64" s="486"/>
      <c r="U64" s="16"/>
      <c r="V64" s="135"/>
      <c r="W64" s="135"/>
      <c r="X64" s="131"/>
      <c r="Y64" s="130"/>
      <c r="Z64" s="136"/>
      <c r="AA64" s="54"/>
      <c r="AB64" s="160"/>
      <c r="AH64" s="13"/>
      <c r="AI64" s="13"/>
      <c r="AJ64" s="554"/>
      <c r="AK64" s="554"/>
      <c r="AL64" s="278"/>
      <c r="AM64" s="689" t="s">
        <v>226</v>
      </c>
      <c r="AN64" s="701">
        <v>300</v>
      </c>
      <c r="AR64" s="284" t="s">
        <v>55</v>
      </c>
      <c r="AS64" s="284"/>
      <c r="AT64" s="284"/>
      <c r="AU64" s="302"/>
      <c r="AV64" s="289">
        <f>SUM(AU48)</f>
        <v>45919</v>
      </c>
    </row>
    <row r="65" spans="1:49" ht="15" customHeight="1" x14ac:dyDescent="0.3">
      <c r="B65" s="7"/>
      <c r="C65" s="2"/>
      <c r="D65" s="2"/>
      <c r="F65" s="140"/>
      <c r="G65" s="72"/>
      <c r="H65" s="72"/>
      <c r="I65" s="463"/>
      <c r="J65" s="15"/>
      <c r="K65" s="15"/>
      <c r="L65" s="12"/>
      <c r="M65" s="12"/>
      <c r="N65" s="77"/>
      <c r="O65" s="134"/>
      <c r="P65" s="152"/>
      <c r="Q65" s="17"/>
      <c r="R65" s="486"/>
      <c r="S65" s="152"/>
      <c r="T65" s="486"/>
      <c r="U65" s="16"/>
      <c r="V65" s="135"/>
      <c r="W65" s="135"/>
      <c r="X65" s="131"/>
      <c r="Y65" s="130"/>
      <c r="Z65" s="136"/>
      <c r="AA65" s="54"/>
      <c r="AB65" s="160"/>
      <c r="AH65" s="13"/>
      <c r="AI65" s="13"/>
      <c r="AJ65" s="554"/>
      <c r="AK65" s="554"/>
      <c r="AL65" s="278"/>
      <c r="AM65" s="689" t="s">
        <v>78</v>
      </c>
      <c r="AN65" s="555">
        <f ca="1">AV60</f>
        <v>600</v>
      </c>
      <c r="AR65" s="282" t="s">
        <v>74</v>
      </c>
      <c r="AS65" s="282"/>
      <c r="AT65" s="282"/>
      <c r="AU65" s="288"/>
      <c r="AV65" s="303">
        <v>45695</v>
      </c>
    </row>
    <row r="66" spans="1:49" ht="15" customHeight="1" thickBot="1" x14ac:dyDescent="0.35">
      <c r="B66" s="7"/>
      <c r="C66" s="2"/>
      <c r="D66" s="2"/>
      <c r="F66" s="597"/>
      <c r="G66" s="258"/>
      <c r="H66" s="196"/>
      <c r="I66" s="196"/>
      <c r="J66" s="136"/>
      <c r="K66" s="136"/>
      <c r="L66" s="136"/>
      <c r="M66" s="136"/>
      <c r="N66" s="331"/>
      <c r="O66" s="136"/>
      <c r="P66" s="131"/>
      <c r="Q66" s="136"/>
      <c r="R66" s="487"/>
      <c r="S66" s="131"/>
      <c r="T66" s="487"/>
      <c r="U66" s="16"/>
      <c r="V66" s="135"/>
      <c r="W66" s="135"/>
      <c r="X66" s="131"/>
      <c r="Y66" s="130"/>
      <c r="Z66" s="136"/>
      <c r="AA66" s="54"/>
      <c r="AB66" s="160"/>
      <c r="AH66" s="13"/>
      <c r="AI66" s="13"/>
      <c r="AJ66" s="556"/>
      <c r="AK66" s="556"/>
      <c r="AL66" s="278"/>
      <c r="AM66" s="690" t="s">
        <v>79</v>
      </c>
      <c r="AN66" s="557">
        <f ca="1">AV72</f>
        <v>2100</v>
      </c>
      <c r="AR66" s="284" t="s">
        <v>57</v>
      </c>
      <c r="AS66" s="283"/>
      <c r="AT66" s="283"/>
      <c r="AU66" s="287"/>
      <c r="AV66" s="289">
        <f ca="1">SUM(AU47)</f>
        <v>45702</v>
      </c>
    </row>
    <row r="67" spans="1:49" ht="15" customHeight="1" thickTop="1" x14ac:dyDescent="0.3">
      <c r="B67" s="7"/>
      <c r="C67" s="2"/>
      <c r="D67" s="2"/>
      <c r="F67" s="597"/>
      <c r="G67" s="258"/>
      <c r="H67" s="196"/>
      <c r="I67" s="196"/>
      <c r="J67" s="136"/>
      <c r="K67" s="136"/>
      <c r="L67" s="136"/>
      <c r="M67" s="136"/>
      <c r="N67" s="136"/>
      <c r="O67" s="627"/>
      <c r="P67" s="131"/>
      <c r="Q67" s="136"/>
      <c r="R67" s="487"/>
      <c r="S67" s="126" t="s">
        <v>169</v>
      </c>
      <c r="T67" s="628">
        <f ca="1">SUM(T46:T65)</f>
        <v>2143684</v>
      </c>
      <c r="U67" s="16"/>
      <c r="V67" s="135"/>
      <c r="W67" s="629" t="s">
        <v>166</v>
      </c>
      <c r="X67" s="503"/>
      <c r="Y67" s="194"/>
      <c r="Z67" s="552"/>
      <c r="AA67" s="490">
        <f ca="1">PRODUCT(T67,1/AB69)</f>
        <v>23556.967032967033</v>
      </c>
      <c r="AB67" s="312"/>
      <c r="AC67" s="198">
        <f>SUM(R55)</f>
        <v>21376</v>
      </c>
      <c r="AF67" s="294" t="s">
        <v>172</v>
      </c>
      <c r="AG67" s="612">
        <f>SUM(AG46:AG63)</f>
        <v>6782276</v>
      </c>
      <c r="AH67" s="13"/>
      <c r="AI67" s="544" t="s">
        <v>173</v>
      </c>
      <c r="AJ67" s="545"/>
      <c r="AK67" s="545"/>
      <c r="AL67" s="545"/>
      <c r="AM67" s="545"/>
      <c r="AN67" s="546">
        <f>PRODUCT(AG67,1/AN69)</f>
        <v>22020.376623376626</v>
      </c>
      <c r="AR67" s="284" t="s">
        <v>58</v>
      </c>
      <c r="AS67" s="283"/>
      <c r="AT67" s="283"/>
      <c r="AU67" s="287"/>
      <c r="AV67" s="290" t="s">
        <v>75</v>
      </c>
    </row>
    <row r="68" spans="1:49" ht="15" customHeight="1" x14ac:dyDescent="0.3">
      <c r="B68" s="7"/>
      <c r="C68" s="2"/>
      <c r="D68" s="2"/>
      <c r="F68" s="597"/>
      <c r="G68" s="258"/>
      <c r="H68" s="196"/>
      <c r="I68" s="196"/>
      <c r="J68" s="135"/>
      <c r="K68" s="136"/>
      <c r="L68" s="136"/>
      <c r="M68" s="136"/>
      <c r="N68" s="331"/>
      <c r="O68" s="136"/>
      <c r="P68" s="131"/>
      <c r="Q68" s="136"/>
      <c r="R68" s="487"/>
      <c r="S68" s="131"/>
      <c r="T68" s="487"/>
      <c r="U68" s="16"/>
      <c r="V68" s="135"/>
      <c r="W68" s="115" t="s">
        <v>193</v>
      </c>
      <c r="X68" s="103"/>
      <c r="Y68" s="113"/>
      <c r="Z68" s="114"/>
      <c r="AA68" s="113"/>
      <c r="AB68" s="142">
        <f>SUM(AB46:AB66)</f>
        <v>258.00000000000017</v>
      </c>
      <c r="AD68" s="198">
        <f>SUM(AB68)</f>
        <v>258.00000000000017</v>
      </c>
      <c r="AH68" s="13"/>
      <c r="AI68" s="240" t="s">
        <v>174</v>
      </c>
      <c r="AJ68" s="113"/>
      <c r="AK68" s="113"/>
      <c r="AL68" s="113"/>
      <c r="AM68" s="113"/>
      <c r="AN68" s="142">
        <f ca="1">SUM(AN46:AN66)</f>
        <v>1732.0000000000002</v>
      </c>
      <c r="AP68" s="142">
        <f ca="1">AN68</f>
        <v>1732.0000000000002</v>
      </c>
      <c r="AR68" s="284" t="s">
        <v>76</v>
      </c>
      <c r="AS68" s="283"/>
      <c r="AT68" s="283"/>
      <c r="AU68" s="287"/>
      <c r="AV68" s="294" cm="1">
        <f t="array" aca="1" ref="AV68" ca="1">NPendingEvents(AV63,AV64,AV65,AV66,AV67)</f>
        <v>7</v>
      </c>
    </row>
    <row r="69" spans="1:49" ht="15" customHeight="1" x14ac:dyDescent="0.3">
      <c r="B69" s="7"/>
      <c r="C69" s="2"/>
      <c r="D69" s="2"/>
      <c r="F69" s="597"/>
      <c r="G69" s="805" t="s">
        <v>182</v>
      </c>
      <c r="H69" s="806"/>
      <c r="I69" s="946" t="s">
        <v>184</v>
      </c>
      <c r="J69" s="831"/>
      <c r="K69" s="811" t="s">
        <v>185</v>
      </c>
      <c r="L69" s="806"/>
      <c r="M69" s="821" t="s">
        <v>191</v>
      </c>
      <c r="N69" s="822"/>
      <c r="O69" s="822"/>
      <c r="P69" s="631"/>
      <c r="Q69" s="632"/>
      <c r="R69" s="487"/>
      <c r="S69" s="630"/>
      <c r="T69" s="487"/>
      <c r="U69" s="16"/>
      <c r="V69" s="135"/>
      <c r="W69" s="115" t="s">
        <v>85</v>
      </c>
      <c r="X69" s="103"/>
      <c r="Y69" s="115"/>
      <c r="Z69" s="115"/>
      <c r="AA69" s="113"/>
      <c r="AB69" s="143">
        <f ca="1">_xlfn.DAYS(AB43,AB42)</f>
        <v>91</v>
      </c>
      <c r="AC69" s="37"/>
      <c r="AD69" s="37"/>
      <c r="AH69" s="13"/>
      <c r="AI69" s="240" t="s">
        <v>175</v>
      </c>
      <c r="AJ69" s="113"/>
      <c r="AK69" s="113"/>
      <c r="AL69" s="113"/>
      <c r="AM69" s="113"/>
      <c r="AN69" s="143">
        <f>_xlfn.DAYS(AN43,AN42)</f>
        <v>308</v>
      </c>
      <c r="AR69" s="282" t="s">
        <v>77</v>
      </c>
      <c r="AS69" s="282"/>
      <c r="AT69" s="282"/>
      <c r="AU69" s="288"/>
      <c r="AV69" s="65">
        <v>0.15</v>
      </c>
    </row>
    <row r="70" spans="1:49" ht="15" customHeight="1" thickBot="1" x14ac:dyDescent="0.35">
      <c r="B70" s="7"/>
      <c r="C70" s="2"/>
      <c r="D70" s="2"/>
      <c r="F70" s="597"/>
      <c r="G70" s="806"/>
      <c r="H70" s="806"/>
      <c r="I70" s="831"/>
      <c r="J70" s="831"/>
      <c r="K70" s="806"/>
      <c r="L70" s="806"/>
      <c r="M70" s="822"/>
      <c r="N70" s="822"/>
      <c r="O70" s="822"/>
      <c r="P70" s="631"/>
      <c r="Q70" s="632"/>
      <c r="R70" s="630"/>
      <c r="S70" s="630"/>
      <c r="T70" s="487"/>
      <c r="U70" s="16"/>
      <c r="V70" s="135"/>
      <c r="W70" s="629" t="s">
        <v>194</v>
      </c>
      <c r="X70" s="503"/>
      <c r="Y70" s="194"/>
      <c r="Z70" s="552"/>
      <c r="AA70" s="194"/>
      <c r="AB70" s="633">
        <f ca="1">PRODUCT(AB68,100,1/AA67)</f>
        <v>1.0952173921156296</v>
      </c>
      <c r="AC70" s="71"/>
      <c r="AD70" s="71"/>
      <c r="AH70" s="13"/>
      <c r="AI70" s="551" t="s">
        <v>176</v>
      </c>
      <c r="AJ70" s="194"/>
      <c r="AK70" s="194"/>
      <c r="AL70" s="194"/>
      <c r="AM70" s="194"/>
      <c r="AN70" s="553">
        <f ca="1">PRODUCT(AN68,100,1/AN67)</f>
        <v>7.8654422202812162</v>
      </c>
      <c r="AR70" s="284" t="s">
        <v>68</v>
      </c>
      <c r="AS70" s="283"/>
      <c r="AT70" s="283"/>
      <c r="AU70" s="287"/>
      <c r="AV70" s="294">
        <f>SUM(M48)</f>
        <v>2000</v>
      </c>
    </row>
    <row r="71" spans="1:49" ht="64.95" customHeight="1" thickTop="1" thickBot="1" x14ac:dyDescent="0.35">
      <c r="B71" s="7"/>
      <c r="C71" s="2"/>
      <c r="D71" s="2"/>
      <c r="F71" s="602"/>
      <c r="G71" s="807"/>
      <c r="H71" s="807"/>
      <c r="I71" s="947" t="s">
        <v>183</v>
      </c>
      <c r="J71" s="947"/>
      <c r="K71" s="812"/>
      <c r="L71" s="812"/>
      <c r="M71" s="823"/>
      <c r="N71" s="823"/>
      <c r="O71" s="823"/>
      <c r="P71" s="249"/>
      <c r="Q71" s="251"/>
      <c r="R71" s="493"/>
      <c r="S71" s="249"/>
      <c r="T71" s="493"/>
      <c r="U71" s="248"/>
      <c r="V71" s="204"/>
      <c r="W71" s="634" t="s">
        <v>195</v>
      </c>
      <c r="X71" s="635"/>
      <c r="Y71" s="605"/>
      <c r="Z71" s="605"/>
      <c r="AA71" s="605"/>
      <c r="AB71" s="636">
        <f ca="1">PRODUCT(AB70,365,1/AB69)</f>
        <v>4.3929049244198337</v>
      </c>
      <c r="AC71"/>
      <c r="AD71"/>
      <c r="AH71" s="746"/>
      <c r="AI71" s="547" t="s">
        <v>196</v>
      </c>
      <c r="AJ71" s="374"/>
      <c r="AK71" s="605"/>
      <c r="AL71" s="605"/>
      <c r="AM71" s="620"/>
      <c r="AN71" s="543">
        <f ca="1">PRODUCT(AN70,365,1/AN69)</f>
        <v>9.3210597740345591</v>
      </c>
      <c r="AR71" s="284" t="s">
        <v>80</v>
      </c>
      <c r="AS71" s="283"/>
      <c r="AT71" s="283"/>
      <c r="AU71" s="287"/>
      <c r="AV71" s="296">
        <f>PRODUCT(AV69,AV70)</f>
        <v>300</v>
      </c>
    </row>
    <row r="72" spans="1:49" ht="15" thickTop="1" x14ac:dyDescent="0.3">
      <c r="K72" s="21"/>
      <c r="M72" s="242"/>
      <c r="O72" s="67"/>
      <c r="U72" s="67"/>
      <c r="V72" s="242"/>
      <c r="W72" s="242"/>
      <c r="X72" s="297"/>
      <c r="Y72" s="297"/>
      <c r="Z72" s="741"/>
      <c r="AA72" s="217"/>
      <c r="AB72" s="2"/>
      <c r="AC72" s="354"/>
      <c r="AE72" s="2"/>
      <c r="AF72" s="540"/>
      <c r="AK72" s="297"/>
      <c r="AL72" s="297"/>
      <c r="AM72" s="741"/>
      <c r="AN72" s="354"/>
      <c r="AR72" s="284" t="s">
        <v>82</v>
      </c>
      <c r="AS72" s="283"/>
      <c r="AT72" s="283"/>
      <c r="AU72" s="287"/>
      <c r="AV72" s="296">
        <f ca="1">PRODUCT(AV68,AV71)</f>
        <v>2100</v>
      </c>
      <c r="AW72" s="300"/>
    </row>
    <row r="73" spans="1:49" x14ac:dyDescent="0.3">
      <c r="I73" s="417" t="s">
        <v>83</v>
      </c>
      <c r="J73" s="418">
        <v>45723</v>
      </c>
      <c r="X73" s="613"/>
      <c r="Y73" s="297"/>
      <c r="Z73" s="741"/>
      <c r="AA73" s="1"/>
      <c r="AB73" s="354"/>
      <c r="AD73" s="354"/>
      <c r="AE73" s="354"/>
      <c r="AF73" s="537"/>
      <c r="AM73" s="741"/>
      <c r="AN73" s="354"/>
      <c r="AP73" s="354"/>
      <c r="AW73" s="24"/>
    </row>
    <row r="74" spans="1:49" x14ac:dyDescent="0.3">
      <c r="X74" s="613"/>
      <c r="Y74" s="613"/>
      <c r="Z74" s="613"/>
      <c r="AA74" s="1"/>
      <c r="AB74" s="741"/>
      <c r="AC74" s="37"/>
      <c r="AD74" s="37"/>
      <c r="AE74" s="37"/>
      <c r="AF74" s="538"/>
      <c r="AM74" s="741"/>
      <c r="AN74" s="741"/>
      <c r="AO74" s="67"/>
      <c r="AP74" s="67"/>
      <c r="AQ74" s="67"/>
    </row>
    <row r="75" spans="1:49" s="71" customFormat="1" ht="36" customHeight="1" x14ac:dyDescent="0.3">
      <c r="A75" s="415"/>
      <c r="B75" s="415"/>
      <c r="C75" s="70"/>
      <c r="D75" s="70"/>
      <c r="E75" s="415"/>
      <c r="F75" s="2"/>
      <c r="G75" s="243"/>
      <c r="H75" s="415"/>
      <c r="I75" s="415"/>
      <c r="J75" s="415"/>
      <c r="K75" s="70"/>
      <c r="L75" s="70"/>
      <c r="M75" s="70"/>
      <c r="N75" s="111"/>
      <c r="O75" s="414"/>
      <c r="P75" s="474"/>
      <c r="Q75" s="70"/>
      <c r="R75" s="491"/>
      <c r="S75" s="474"/>
      <c r="T75" s="491"/>
      <c r="U75" s="414"/>
      <c r="V75" s="70"/>
      <c r="W75" s="70"/>
      <c r="X75" s="613"/>
      <c r="Y75" s="297"/>
      <c r="Z75" s="741"/>
      <c r="AA75" s="297"/>
      <c r="AB75" s="742"/>
      <c r="AF75" s="539"/>
      <c r="AG75" s="747"/>
      <c r="AH75" s="748"/>
      <c r="AI75" s="748"/>
      <c r="AJ75" s="415"/>
      <c r="AK75" s="1"/>
      <c r="AL75" s="1"/>
      <c r="AM75" s="741"/>
      <c r="AN75" s="742"/>
      <c r="AO75" s="224"/>
      <c r="AP75" s="224"/>
      <c r="AQ75" s="224"/>
      <c r="AU75" s="20"/>
      <c r="AV75" s="415"/>
    </row>
    <row r="76" spans="1:49" ht="36.6" x14ac:dyDescent="0.3">
      <c r="F76" s="2" t="s">
        <v>95</v>
      </c>
      <c r="X76" s="743"/>
      <c r="Y76" s="415"/>
      <c r="Z76" s="415"/>
      <c r="AA76" s="415"/>
      <c r="AB76" s="744"/>
      <c r="AC76"/>
      <c r="AD76"/>
      <c r="AE76"/>
      <c r="AF76" s="538"/>
      <c r="AK76" s="415"/>
      <c r="AL76" s="415"/>
      <c r="AM76" s="695"/>
      <c r="AN76" s="744"/>
      <c r="AO76" s="67"/>
      <c r="AP76" s="67"/>
      <c r="AQ76" s="67"/>
    </row>
    <row r="77" spans="1:49" ht="15" customHeight="1" x14ac:dyDescent="0.3">
      <c r="X77" s="743"/>
      <c r="Y77" s="415"/>
      <c r="Z77" s="415"/>
      <c r="AA77" s="415"/>
      <c r="AB77" s="744"/>
      <c r="AC77"/>
      <c r="AD77"/>
      <c r="AE77"/>
      <c r="AF77" s="538"/>
      <c r="AO77" s="67"/>
      <c r="AP77" s="67"/>
      <c r="AQ77" s="67"/>
    </row>
    <row r="78" spans="1:49" x14ac:dyDescent="0.3">
      <c r="AO78" s="67"/>
      <c r="AP78" s="67"/>
      <c r="AQ78" s="67"/>
    </row>
    <row r="79" spans="1:49" ht="15" thickBot="1" x14ac:dyDescent="0.35">
      <c r="AO79" s="67"/>
      <c r="AP79" s="67"/>
      <c r="AQ79" s="67"/>
    </row>
    <row r="80" spans="1:49" ht="15" customHeight="1" thickTop="1" x14ac:dyDescent="0.3">
      <c r="F80" s="45" t="s">
        <v>96</v>
      </c>
      <c r="G80" s="25"/>
      <c r="H80" s="25" t="s">
        <v>2</v>
      </c>
      <c r="I80" s="896" t="s">
        <v>97</v>
      </c>
      <c r="J80" s="814"/>
      <c r="K80" s="814"/>
      <c r="L80" s="897"/>
      <c r="M80" s="164"/>
      <c r="N80" s="165"/>
      <c r="O80" s="166" t="s">
        <v>3</v>
      </c>
      <c r="P80" s="471"/>
      <c r="Q80" s="502"/>
      <c r="R80" s="489"/>
      <c r="S80" s="471"/>
      <c r="T80" s="489"/>
      <c r="U80" s="167"/>
      <c r="V80" s="168"/>
      <c r="W80" s="93"/>
      <c r="X80" s="892" t="s">
        <v>4</v>
      </c>
      <c r="Y80" s="893"/>
      <c r="Z80" s="323"/>
      <c r="AA80" s="324" t="s">
        <v>5</v>
      </c>
      <c r="AB80" s="325">
        <f>K84</f>
        <v>45621</v>
      </c>
      <c r="AH80" s="167"/>
      <c r="AI80" s="168"/>
      <c r="AJ80" s="93"/>
      <c r="AK80" s="892" t="s">
        <v>4</v>
      </c>
      <c r="AL80" s="893"/>
      <c r="AM80" s="326"/>
      <c r="AN80" s="256">
        <f>SUM(K85)</f>
        <v>45621</v>
      </c>
      <c r="AO80" s="67"/>
      <c r="AP80" s="67"/>
      <c r="AQ80" s="67"/>
    </row>
    <row r="81" spans="2:53" ht="15" customHeight="1" thickBot="1" x14ac:dyDescent="0.35">
      <c r="F81" s="56" t="s">
        <v>98</v>
      </c>
      <c r="G81" s="27" t="s">
        <v>99</v>
      </c>
      <c r="H81" s="27"/>
      <c r="I81" s="898"/>
      <c r="J81" s="899"/>
      <c r="K81" s="899"/>
      <c r="L81" s="900"/>
      <c r="M81" s="115"/>
      <c r="N81" s="171"/>
      <c r="O81" s="172" t="s">
        <v>6</v>
      </c>
      <c r="P81" s="472"/>
      <c r="Q81" s="503"/>
      <c r="R81" s="490"/>
      <c r="S81" s="472"/>
      <c r="T81" s="490"/>
      <c r="U81" s="173"/>
      <c r="V81" s="174"/>
      <c r="W81" s="175"/>
      <c r="X81" s="894"/>
      <c r="Y81" s="895"/>
      <c r="Z81" s="209"/>
      <c r="AA81" s="210" t="s">
        <v>7</v>
      </c>
      <c r="AB81" s="211">
        <f ca="1">$C$4</f>
        <v>45702</v>
      </c>
      <c r="AH81" s="173"/>
      <c r="AI81" s="174"/>
      <c r="AJ81" s="175"/>
      <c r="AK81" s="894"/>
      <c r="AL81" s="895"/>
      <c r="AM81" s="255"/>
      <c r="AN81" s="257">
        <f>SUM(J85)</f>
        <v>46010</v>
      </c>
      <c r="AO81" s="67"/>
      <c r="AP81" s="67"/>
      <c r="AQ81" s="67"/>
    </row>
    <row r="82" spans="2:53" ht="58.8" thickTop="1" thickBot="1" x14ac:dyDescent="0.4">
      <c r="B82" s="1" t="s">
        <v>8</v>
      </c>
      <c r="F82" s="94" t="s">
        <v>9</v>
      </c>
      <c r="G82" s="119" t="s">
        <v>10</v>
      </c>
      <c r="H82" s="119" t="s">
        <v>11</v>
      </c>
      <c r="I82" s="119" t="s">
        <v>12</v>
      </c>
      <c r="J82" s="119" t="s">
        <v>13</v>
      </c>
      <c r="K82" s="119" t="s">
        <v>14</v>
      </c>
      <c r="L82" s="119" t="s">
        <v>15</v>
      </c>
      <c r="M82" s="121" t="s">
        <v>16</v>
      </c>
      <c r="N82" s="176" t="s">
        <v>17</v>
      </c>
      <c r="O82" s="402" t="s">
        <v>18</v>
      </c>
      <c r="P82" s="904" t="s">
        <v>165</v>
      </c>
      <c r="Q82" s="504"/>
      <c r="R82" s="484"/>
      <c r="S82" s="479" t="s">
        <v>164</v>
      </c>
      <c r="T82" s="484"/>
      <c r="U82" s="116"/>
      <c r="V82" s="407" t="s">
        <v>19</v>
      </c>
      <c r="W82" s="407" t="s">
        <v>20</v>
      </c>
      <c r="X82" s="408" t="s">
        <v>16</v>
      </c>
      <c r="Y82" s="407" t="s">
        <v>21</v>
      </c>
      <c r="Z82" s="402" t="s">
        <v>22</v>
      </c>
      <c r="AA82" s="402" t="s">
        <v>23</v>
      </c>
      <c r="AB82" s="409" t="s">
        <v>24</v>
      </c>
      <c r="AH82" s="99"/>
      <c r="AI82" s="401" t="s">
        <v>25</v>
      </c>
      <c r="AJ82" s="887" t="s">
        <v>20</v>
      </c>
      <c r="AK82" s="886" t="s">
        <v>16</v>
      </c>
      <c r="AL82" s="401" t="s">
        <v>26</v>
      </c>
      <c r="AM82" s="401" t="s">
        <v>27</v>
      </c>
      <c r="AN82" s="879" t="s">
        <v>28</v>
      </c>
      <c r="AO82" s="67"/>
      <c r="AP82" s="67"/>
      <c r="AQ82" s="67"/>
    </row>
    <row r="83" spans="2:53" ht="58.8" thickTop="1" thickBot="1" x14ac:dyDescent="0.35">
      <c r="B83" s="89" t="s">
        <v>29</v>
      </c>
      <c r="F83" s="410"/>
      <c r="G83" s="411"/>
      <c r="H83" s="411"/>
      <c r="I83" s="411"/>
      <c r="J83" s="411"/>
      <c r="K83" s="411"/>
      <c r="L83" s="411"/>
      <c r="M83" s="413"/>
      <c r="N83" s="117" t="s">
        <v>30</v>
      </c>
      <c r="O83" s="405"/>
      <c r="P83" s="905"/>
      <c r="Q83" s="505"/>
      <c r="R83" s="485"/>
      <c r="S83" s="480"/>
      <c r="T83" s="485"/>
      <c r="U83" s="118"/>
      <c r="V83" s="199" t="s">
        <v>31</v>
      </c>
      <c r="W83" s="402"/>
      <c r="X83" s="406"/>
      <c r="Y83" s="199" t="s">
        <v>32</v>
      </c>
      <c r="Z83" s="120" t="s">
        <v>33</v>
      </c>
      <c r="AA83" s="402"/>
      <c r="AB83" s="409"/>
      <c r="AH83" s="272"/>
      <c r="AI83" s="309" t="s">
        <v>34</v>
      </c>
      <c r="AJ83" s="916"/>
      <c r="AK83" s="914"/>
      <c r="AL83" s="273" t="s">
        <v>32</v>
      </c>
      <c r="AM83" s="308" t="s">
        <v>33</v>
      </c>
      <c r="AN83" s="915"/>
      <c r="AO83" s="67"/>
      <c r="AP83" s="67"/>
      <c r="AQ83" s="67"/>
      <c r="AR83" s="370"/>
      <c r="AS83" s="371" t="s">
        <v>4</v>
      </c>
      <c r="AT83" s="372"/>
      <c r="AU83" s="367" t="s">
        <v>35</v>
      </c>
      <c r="AV83" s="400" t="s">
        <v>36</v>
      </c>
      <c r="AW83" s="400" t="s">
        <v>37</v>
      </c>
      <c r="AX83" s="400" t="s">
        <v>38</v>
      </c>
      <c r="AY83" s="400" t="s">
        <v>39</v>
      </c>
      <c r="AZ83" s="400" t="s">
        <v>40</v>
      </c>
      <c r="BA83" s="218" t="s">
        <v>41</v>
      </c>
    </row>
    <row r="84" spans="2:53" ht="15" customHeight="1" thickTop="1" thickBot="1" x14ac:dyDescent="0.35">
      <c r="B84" s="87" t="s">
        <v>42</v>
      </c>
      <c r="C84" s="376">
        <f>_xll.EPF.Yahoo.Price("f")</f>
        <v>9.4450000000000003</v>
      </c>
      <c r="D84" s="376"/>
      <c r="F84" s="47" t="s">
        <v>43</v>
      </c>
      <c r="G84" s="412" t="s">
        <v>44</v>
      </c>
      <c r="H84" s="412" t="s">
        <v>45</v>
      </c>
      <c r="I84" s="46"/>
      <c r="J84" s="412"/>
      <c r="K84" s="51">
        <v>45621</v>
      </c>
      <c r="L84" s="412" t="s">
        <v>47</v>
      </c>
      <c r="M84" s="38">
        <v>3000</v>
      </c>
      <c r="N84" s="39">
        <v>11.475</v>
      </c>
      <c r="O84" s="185">
        <f>IF(L84="Buy",M84*N84*-1,M84*N84)</f>
        <v>-34425</v>
      </c>
      <c r="P84" s="482"/>
      <c r="Q84" s="506"/>
      <c r="R84" s="492"/>
      <c r="S84" s="482"/>
      <c r="T84" s="492"/>
      <c r="U84" s="178"/>
      <c r="V84" s="211">
        <f ca="1">$C$4</f>
        <v>45702</v>
      </c>
      <c r="W84" s="125" t="str">
        <f>IF(L84="Buy","Sell","Buy")</f>
        <v>Sell</v>
      </c>
      <c r="X84" s="126">
        <f>SUM(M84)</f>
        <v>3000</v>
      </c>
      <c r="Y84" s="197">
        <f>SUM(C84)</f>
        <v>9.4450000000000003</v>
      </c>
      <c r="Z84" s="104">
        <f>IF(W84="Buy",X84*Y84*-1,X84*Y84)</f>
        <v>28335</v>
      </c>
      <c r="AA84" s="104">
        <f>IF(H84="Yes",O84*-1,0)</f>
        <v>34425</v>
      </c>
      <c r="AB84" s="138">
        <f>SUM(O84,Z84)</f>
        <v>-6090</v>
      </c>
      <c r="AH84" s="178"/>
      <c r="AI84" s="125">
        <f>SUM(J86)</f>
        <v>46010</v>
      </c>
      <c r="AJ84" s="125" t="str">
        <f>IF(L84="Buy","Sell","Buy")</f>
        <v>Sell</v>
      </c>
      <c r="AK84" s="195">
        <f>SUM(M84)</f>
        <v>3000</v>
      </c>
      <c r="AL84" s="200">
        <f>C84</f>
        <v>9.4450000000000003</v>
      </c>
      <c r="AM84" s="104">
        <f>IF(AJ84="Buy",AK84*AL84*-1,AK84*AL84)</f>
        <v>28335</v>
      </c>
      <c r="AN84" s="138">
        <f>SUM(O84,AM84)</f>
        <v>-6090</v>
      </c>
      <c r="AO84" s="67"/>
      <c r="AP84" s="67"/>
      <c r="AQ84" s="67"/>
      <c r="AR84" s="368" t="s">
        <v>5</v>
      </c>
      <c r="AS84" s="369"/>
      <c r="AT84" s="369"/>
      <c r="AU84" s="214">
        <f>SUM(AB80)</f>
        <v>45621</v>
      </c>
      <c r="AV84" s="858">
        <f>SUM(AA110)</f>
        <v>38505</v>
      </c>
      <c r="AW84" s="213"/>
      <c r="AX84" s="861">
        <f ca="1">SUM(AW86,-AW85)</f>
        <v>3615</v>
      </c>
      <c r="AY84" s="219"/>
      <c r="AZ84" s="872">
        <f ca="1">SUM(AY86,-1*AY85)</f>
        <v>308</v>
      </c>
      <c r="BA84" s="911">
        <f ca="1">PRODUCT(30,1/AZ84,AX84)</f>
        <v>352.11038961038963</v>
      </c>
    </row>
    <row r="85" spans="2:53" ht="15.6" customHeight="1" thickTop="1" thickBot="1" x14ac:dyDescent="0.35">
      <c r="B85" s="304" t="s">
        <v>100</v>
      </c>
      <c r="C85" s="378" t="s">
        <v>61</v>
      </c>
      <c r="D85" s="378"/>
      <c r="F85" s="457" t="s">
        <v>43</v>
      </c>
      <c r="G85" s="97" t="s">
        <v>49</v>
      </c>
      <c r="H85" s="97" t="s">
        <v>45</v>
      </c>
      <c r="I85" s="9">
        <v>11.82</v>
      </c>
      <c r="J85" s="10">
        <v>46010</v>
      </c>
      <c r="K85" s="10">
        <v>45621</v>
      </c>
      <c r="L85" s="8" t="s">
        <v>47</v>
      </c>
      <c r="M85" s="29">
        <v>30</v>
      </c>
      <c r="N85" s="30">
        <v>1.36</v>
      </c>
      <c r="O85" s="102">
        <f>IF(L85="Buy",M85*N85*-1*100,M85*N85*100)</f>
        <v>-4080.0000000000005</v>
      </c>
      <c r="P85" s="131"/>
      <c r="Q85" s="136"/>
      <c r="R85" s="487"/>
      <c r="S85" s="131"/>
      <c r="T85" s="487"/>
      <c r="U85" s="16"/>
      <c r="V85" s="397">
        <v>45678</v>
      </c>
      <c r="W85" s="455" t="str">
        <f>IF(L85="Buy","Sell","Buy")</f>
        <v>Sell</v>
      </c>
      <c r="X85" s="456">
        <f>SUM(M85)</f>
        <v>30</v>
      </c>
      <c r="Y85" s="337">
        <v>2.2400000000000002</v>
      </c>
      <c r="Z85" s="459">
        <f t="shared" ref="Z85:Z86" si="40">IF(W85="Buy",X85*Y85*-1*100,X85*Y85*100)</f>
        <v>6720</v>
      </c>
      <c r="AA85" s="104">
        <f>IF(H85="Yes",O85*-1,0)</f>
        <v>4080.0000000000005</v>
      </c>
      <c r="AB85" s="460">
        <f>SUM(O85,Z85)</f>
        <v>2639.9999999999995</v>
      </c>
      <c r="AC85" s="355"/>
      <c r="AH85" s="16"/>
      <c r="AI85" s="127">
        <f>SUM(V85)</f>
        <v>45678</v>
      </c>
      <c r="AJ85" s="127" t="str">
        <f>IF(L85="Buy","Sell","Buy")</f>
        <v>Sell</v>
      </c>
      <c r="AK85" s="201">
        <f>SUM(M85)</f>
        <v>30</v>
      </c>
      <c r="AL85" s="394">
        <v>2.2400000000000002</v>
      </c>
      <c r="AM85" s="106">
        <f>IF(AJ85="Buy",AK85*AL85*-1*100,AK85*AL85*100)</f>
        <v>6720</v>
      </c>
      <c r="AN85" s="139">
        <f>SUM(O85,AM85)</f>
        <v>2639.9999999999995</v>
      </c>
      <c r="AO85" s="67"/>
      <c r="AP85" s="67"/>
      <c r="AQ85" s="67"/>
      <c r="AR85" s="212" t="s">
        <v>7</v>
      </c>
      <c r="AS85" s="213"/>
      <c r="AT85" s="213"/>
      <c r="AU85" s="214">
        <f ca="1">SUM(AB81)</f>
        <v>45702</v>
      </c>
      <c r="AV85" s="859"/>
      <c r="AW85" s="220">
        <f>SUM(AB111)</f>
        <v>1320</v>
      </c>
      <c r="AX85" s="862"/>
      <c r="AY85" s="195">
        <f ca="1">SUM(AB112)</f>
        <v>81</v>
      </c>
      <c r="AZ85" s="873"/>
      <c r="BA85" s="912"/>
    </row>
    <row r="86" spans="2:53" ht="15.6" customHeight="1" thickTop="1" thickBot="1" x14ac:dyDescent="0.35">
      <c r="B86" s="88" t="s">
        <v>108</v>
      </c>
      <c r="C86" s="79">
        <f>_xll.EPF.Yahoo.Price("F251219P00009820")</f>
        <v>1.44</v>
      </c>
      <c r="D86" s="79"/>
      <c r="F86" s="94" t="s">
        <v>43</v>
      </c>
      <c r="G86" s="49" t="s">
        <v>49</v>
      </c>
      <c r="H86" s="49" t="s">
        <v>51</v>
      </c>
      <c r="I86" s="43">
        <v>9.82</v>
      </c>
      <c r="J86" s="44">
        <v>46010</v>
      </c>
      <c r="K86" s="44">
        <v>45685</v>
      </c>
      <c r="L86" s="412" t="s">
        <v>47</v>
      </c>
      <c r="M86" s="41">
        <v>30</v>
      </c>
      <c r="N86" s="42">
        <v>1.19</v>
      </c>
      <c r="O86" s="100">
        <f t="shared" ref="O86" si="41">IF(L86="Buy",M86*N86*-1*100,M86*N86*100)</f>
        <v>-3569.9999999999995</v>
      </c>
      <c r="P86" s="152"/>
      <c r="Q86" s="17"/>
      <c r="R86" s="486"/>
      <c r="S86" s="152"/>
      <c r="T86" s="486"/>
      <c r="U86" s="16"/>
      <c r="V86" s="334">
        <f ca="1">$C$4</f>
        <v>45702</v>
      </c>
      <c r="W86" s="125" t="str">
        <f>IF(L86="Buy","Sell","Buy")</f>
        <v>Sell</v>
      </c>
      <c r="X86" s="126">
        <f>SUM(M86)</f>
        <v>30</v>
      </c>
      <c r="Y86" s="197">
        <f>SUM(C86)</f>
        <v>1.44</v>
      </c>
      <c r="Z86" s="103">
        <f t="shared" si="40"/>
        <v>4320</v>
      </c>
      <c r="AA86" s="137">
        <f>IF(H86="Yes",O86*-1,0)</f>
        <v>0</v>
      </c>
      <c r="AB86" s="138">
        <f>SUM(O86,Z86)</f>
        <v>750.00000000000045</v>
      </c>
      <c r="AH86" s="16"/>
      <c r="AI86" s="125">
        <f>SUM(J86)</f>
        <v>46010</v>
      </c>
      <c r="AJ86" s="125" t="str">
        <f>IF(L86="Buy","Sell","Buy")</f>
        <v>Sell</v>
      </c>
      <c r="AK86" s="195">
        <f>SUM(M86)</f>
        <v>30</v>
      </c>
      <c r="AL86" s="197">
        <f>IF(I86-C84&lt;0,0,I86-C84)</f>
        <v>0.375</v>
      </c>
      <c r="AM86" s="103">
        <f>IF(AJ86="Buy",AK86*AL86*-1*100,AK86*AL86*100)</f>
        <v>1125</v>
      </c>
      <c r="AN86" s="138">
        <f>SUM(O86,AM86)</f>
        <v>-2444.9999999999995</v>
      </c>
      <c r="AO86" s="67"/>
      <c r="AP86" s="67"/>
      <c r="AQ86" s="67"/>
      <c r="AR86" s="215" t="s">
        <v>50</v>
      </c>
      <c r="AS86" s="216"/>
      <c r="AT86" s="216"/>
      <c r="AU86" s="214">
        <f>SUM(AN81)</f>
        <v>46010</v>
      </c>
      <c r="AV86" s="860"/>
      <c r="AW86" s="221">
        <f ca="1">SUM(AN111)</f>
        <v>4935</v>
      </c>
      <c r="AX86" s="863"/>
      <c r="AY86" s="222">
        <f>SUM(AN112)</f>
        <v>389</v>
      </c>
      <c r="AZ86" s="874"/>
      <c r="BA86" s="913"/>
    </row>
    <row r="87" spans="2:53" x14ac:dyDescent="0.3">
      <c r="B87" s="7"/>
      <c r="C87" s="5"/>
      <c r="D87" s="5"/>
      <c r="F87" s="129"/>
      <c r="G87" s="14"/>
      <c r="H87" s="12"/>
      <c r="I87" s="12"/>
      <c r="J87" s="12"/>
      <c r="K87" s="17"/>
      <c r="L87" s="17"/>
      <c r="M87" s="17"/>
      <c r="N87" s="181"/>
      <c r="O87" s="276"/>
      <c r="P87" s="131"/>
      <c r="Q87" s="136"/>
      <c r="R87" s="487"/>
      <c r="S87" s="131"/>
      <c r="T87" s="487"/>
      <c r="U87" s="16"/>
      <c r="V87" s="135"/>
      <c r="W87" s="135"/>
      <c r="X87" s="131"/>
      <c r="Y87" s="259"/>
      <c r="Z87" s="136"/>
      <c r="AA87" s="137"/>
      <c r="AB87" s="141"/>
      <c r="AH87" s="16"/>
      <c r="AI87" s="15"/>
      <c r="AJ87" s="12"/>
      <c r="AK87" s="152"/>
      <c r="AL87" s="77"/>
      <c r="AM87" s="17"/>
      <c r="AN87" s="160"/>
      <c r="AO87" s="67"/>
      <c r="AP87" s="67"/>
      <c r="AQ87" s="67"/>
    </row>
    <row r="88" spans="2:53" x14ac:dyDescent="0.3">
      <c r="B88" s="7"/>
      <c r="C88" s="5"/>
      <c r="D88" s="5"/>
      <c r="F88" s="129"/>
      <c r="G88" s="14"/>
      <c r="H88" s="12"/>
      <c r="I88" s="12"/>
      <c r="J88" s="12"/>
      <c r="K88" s="17"/>
      <c r="L88" s="17"/>
      <c r="M88" s="17"/>
      <c r="N88" s="181"/>
      <c r="O88" s="276"/>
      <c r="P88" s="131"/>
      <c r="Q88" s="136"/>
      <c r="R88" s="487"/>
      <c r="S88" s="131"/>
      <c r="T88" s="487"/>
      <c r="U88" s="16"/>
      <c r="V88" s="135"/>
      <c r="W88" s="135"/>
      <c r="X88" s="131"/>
      <c r="Y88" s="259"/>
      <c r="Z88" s="136"/>
      <c r="AA88" s="137"/>
      <c r="AB88" s="141"/>
      <c r="AH88" s="13"/>
      <c r="AI88" s="12"/>
      <c r="AJ88" s="12"/>
      <c r="AK88" s="73"/>
      <c r="AL88" s="12"/>
      <c r="AM88" s="12"/>
      <c r="AN88" s="202"/>
      <c r="AO88" s="67"/>
      <c r="AP88" s="67"/>
      <c r="AQ88" s="67"/>
      <c r="AR88" s="298" t="s">
        <v>52</v>
      </c>
      <c r="AS88" s="295"/>
      <c r="AT88" s="295"/>
      <c r="AU88" s="295"/>
      <c r="AV88" s="295"/>
      <c r="AW88" s="297"/>
      <c r="AX88" s="297"/>
      <c r="AY88" s="297"/>
      <c r="AZ88" s="297"/>
    </row>
    <row r="89" spans="2:53" x14ac:dyDescent="0.3">
      <c r="F89" s="159"/>
      <c r="G89" s="72"/>
      <c r="H89" s="72"/>
      <c r="I89" s="14"/>
      <c r="J89" s="15"/>
      <c r="K89" s="15"/>
      <c r="L89" s="12"/>
      <c r="M89" s="152"/>
      <c r="N89" s="77"/>
      <c r="O89" s="134"/>
      <c r="P89" s="131"/>
      <c r="Q89" s="136"/>
      <c r="R89" s="487"/>
      <c r="S89" s="131"/>
      <c r="T89" s="487"/>
      <c r="U89" s="16"/>
      <c r="V89" s="15"/>
      <c r="W89" s="12"/>
      <c r="X89" s="152"/>
      <c r="Y89" s="77"/>
      <c r="Z89" s="17"/>
      <c r="AA89" s="54"/>
      <c r="AB89" s="160"/>
      <c r="AH89" s="13"/>
      <c r="AI89" s="12"/>
      <c r="AJ89" s="12"/>
      <c r="AK89" s="73"/>
      <c r="AL89" s="12"/>
      <c r="AM89" s="12"/>
      <c r="AN89" s="202"/>
      <c r="AO89" s="67"/>
      <c r="AP89" s="67"/>
      <c r="AQ89" s="67"/>
      <c r="AR89" s="284" t="s">
        <v>53</v>
      </c>
      <c r="AS89" s="283"/>
      <c r="AT89" s="283"/>
      <c r="AU89" s="287"/>
      <c r="AV89" s="289">
        <f>SUM(AU84)</f>
        <v>45621</v>
      </c>
    </row>
    <row r="90" spans="2:53" x14ac:dyDescent="0.3">
      <c r="B90" s="107" t="s">
        <v>54</v>
      </c>
      <c r="C90" s="377" t="s">
        <v>94</v>
      </c>
      <c r="D90" s="529"/>
      <c r="F90" s="161"/>
      <c r="G90" s="59"/>
      <c r="H90" s="59"/>
      <c r="I90" s="60"/>
      <c r="J90" s="61"/>
      <c r="K90" s="61"/>
      <c r="L90" s="11"/>
      <c r="M90" s="11"/>
      <c r="N90" s="63"/>
      <c r="O90" s="101"/>
      <c r="P90" s="131"/>
      <c r="Q90" s="136"/>
      <c r="R90" s="487"/>
      <c r="S90" s="131"/>
      <c r="T90" s="487"/>
      <c r="U90" s="16"/>
      <c r="V90" s="179"/>
      <c r="W90" s="11"/>
      <c r="X90" s="62"/>
      <c r="Y90" s="63"/>
      <c r="Z90" s="75"/>
      <c r="AA90" s="158"/>
      <c r="AB90" s="162"/>
      <c r="AH90" s="13"/>
      <c r="AI90" s="262"/>
      <c r="AJ90" s="11"/>
      <c r="AK90" s="11"/>
      <c r="AL90" s="11"/>
      <c r="AM90" s="11"/>
      <c r="AN90" s="263"/>
      <c r="AO90" s="67"/>
      <c r="AP90" s="67"/>
      <c r="AQ90" s="67"/>
      <c r="AR90" s="284" t="s">
        <v>55</v>
      </c>
      <c r="AS90" s="283"/>
      <c r="AT90" s="283"/>
      <c r="AU90" s="287"/>
      <c r="AV90" s="289">
        <f>SUM(AU86)</f>
        <v>46010</v>
      </c>
    </row>
    <row r="91" spans="2:53" x14ac:dyDescent="0.3">
      <c r="F91" s="129"/>
      <c r="G91" s="14"/>
      <c r="H91" s="180"/>
      <c r="I91" s="12"/>
      <c r="J91" s="180"/>
      <c r="K91" s="72"/>
      <c r="L91" s="180"/>
      <c r="M91" s="17"/>
      <c r="N91" s="181"/>
      <c r="O91" s="276"/>
      <c r="P91" s="131"/>
      <c r="Q91" s="136"/>
      <c r="R91" s="487"/>
      <c r="S91" s="131"/>
      <c r="T91" s="487"/>
      <c r="U91" s="133"/>
      <c r="V91" s="17"/>
      <c r="W91" s="17"/>
      <c r="X91" s="17"/>
      <c r="Y91" s="77"/>
      <c r="Z91" s="133"/>
      <c r="AA91" s="133"/>
      <c r="AB91" s="132"/>
      <c r="AH91" s="13"/>
      <c r="AI91" s="13"/>
      <c r="AJ91" s="12"/>
      <c r="AK91" s="12"/>
      <c r="AL91" s="12"/>
      <c r="AM91" s="12"/>
      <c r="AN91" s="202"/>
      <c r="AO91" s="67"/>
      <c r="AP91" s="67"/>
      <c r="AQ91" s="67"/>
      <c r="AR91" s="282" t="s">
        <v>56</v>
      </c>
      <c r="AS91" s="282"/>
      <c r="AT91" s="282"/>
      <c r="AU91" s="291"/>
      <c r="AV91" s="292">
        <v>45698</v>
      </c>
    </row>
    <row r="92" spans="2:53" x14ac:dyDescent="0.3">
      <c r="F92" s="129"/>
      <c r="G92" s="14"/>
      <c r="H92" s="12"/>
      <c r="I92" s="12"/>
      <c r="J92" s="180"/>
      <c r="K92" s="72"/>
      <c r="L92" s="180"/>
      <c r="M92" s="17"/>
      <c r="N92" s="181"/>
      <c r="O92" s="276"/>
      <c r="P92" s="131"/>
      <c r="Q92" s="136"/>
      <c r="R92" s="487"/>
      <c r="S92" s="131"/>
      <c r="T92" s="487"/>
      <c r="U92" s="133"/>
      <c r="V92" s="17"/>
      <c r="W92" s="17"/>
      <c r="X92" s="17"/>
      <c r="Y92" s="77"/>
      <c r="Z92" s="133"/>
      <c r="AA92" s="133"/>
      <c r="AB92" s="132"/>
      <c r="AH92" s="13"/>
      <c r="AI92" s="13"/>
      <c r="AJ92" s="12"/>
      <c r="AK92" s="12"/>
      <c r="AL92" s="12"/>
      <c r="AM92" s="12"/>
      <c r="AN92" s="202"/>
      <c r="AO92" s="67"/>
      <c r="AP92" s="67"/>
      <c r="AQ92" s="67"/>
      <c r="AR92" s="284" t="s">
        <v>57</v>
      </c>
      <c r="AS92" s="283"/>
      <c r="AT92" s="283"/>
      <c r="AU92" s="287"/>
      <c r="AV92" s="289">
        <f ca="1">SUM(AU85)</f>
        <v>45702</v>
      </c>
    </row>
    <row r="93" spans="2:53" x14ac:dyDescent="0.3">
      <c r="F93" s="129"/>
      <c r="G93" s="14"/>
      <c r="H93" s="12"/>
      <c r="I93" s="12"/>
      <c r="J93" s="12"/>
      <c r="K93" s="72"/>
      <c r="L93" s="180"/>
      <c r="M93" s="17"/>
      <c r="N93" s="181"/>
      <c r="O93" s="276"/>
      <c r="P93" s="131"/>
      <c r="Q93" s="136"/>
      <c r="R93" s="487"/>
      <c r="S93" s="131"/>
      <c r="T93" s="487"/>
      <c r="U93" s="133"/>
      <c r="V93" s="17"/>
      <c r="W93" s="17"/>
      <c r="X93" s="17"/>
      <c r="Y93" s="77"/>
      <c r="Z93" s="133"/>
      <c r="AA93" s="133"/>
      <c r="AB93" s="132"/>
      <c r="AH93" s="13"/>
      <c r="AI93" s="13"/>
      <c r="AJ93" s="12"/>
      <c r="AK93" s="12"/>
      <c r="AL93" s="12"/>
      <c r="AM93" s="12"/>
      <c r="AN93" s="202"/>
      <c r="AO93" s="67"/>
      <c r="AP93" s="67"/>
      <c r="AQ93" s="67"/>
      <c r="AR93" s="284" t="s">
        <v>58</v>
      </c>
      <c r="AS93" s="283"/>
      <c r="AT93" s="283"/>
      <c r="AU93" s="287"/>
      <c r="AV93" s="290" t="s">
        <v>59</v>
      </c>
    </row>
    <row r="94" spans="2:53" x14ac:dyDescent="0.3">
      <c r="B94" s="66" t="s">
        <v>101</v>
      </c>
      <c r="C94" s="378" t="s">
        <v>61</v>
      </c>
      <c r="D94" s="378"/>
      <c r="F94" s="275" t="s">
        <v>43</v>
      </c>
      <c r="G94" s="97" t="s">
        <v>62</v>
      </c>
      <c r="H94" s="97" t="s">
        <v>51</v>
      </c>
      <c r="I94" s="9">
        <v>11.5</v>
      </c>
      <c r="J94" s="10">
        <v>45653</v>
      </c>
      <c r="K94" s="10">
        <v>45621</v>
      </c>
      <c r="L94" s="8" t="s">
        <v>63</v>
      </c>
      <c r="M94" s="8">
        <v>30</v>
      </c>
      <c r="N94" s="30">
        <v>0.37</v>
      </c>
      <c r="O94" s="102">
        <f>IF(L94="Buy",M94*N94*-1*100,M94*N94*100)</f>
        <v>1110</v>
      </c>
      <c r="P94" s="131"/>
      <c r="Q94" s="136"/>
      <c r="R94" s="487"/>
      <c r="S94" s="131"/>
      <c r="T94" s="487"/>
      <c r="U94" s="16"/>
      <c r="V94" s="10">
        <v>45636</v>
      </c>
      <c r="W94" s="127" t="str">
        <f>IF(L94="Buy","Sell","Buy")</f>
        <v>Buy</v>
      </c>
      <c r="X94" s="128">
        <f>SUM(M94)</f>
        <v>30</v>
      </c>
      <c r="Y94" s="30">
        <v>0.04</v>
      </c>
      <c r="Z94" s="105">
        <f t="shared" ref="Z94:Z96" si="42">IF(W94="Buy",X94*Y94*-1*100,X94*Y94*100)</f>
        <v>-120</v>
      </c>
      <c r="AA94" s="54">
        <f>IF(H94="Yes",O94*-1,0)</f>
        <v>0</v>
      </c>
      <c r="AB94" s="163">
        <f>SUM(O94,Z94)</f>
        <v>990</v>
      </c>
      <c r="AH94" s="13"/>
      <c r="AI94" s="127">
        <f>SUM(V94)</f>
        <v>45636</v>
      </c>
      <c r="AJ94" s="127" t="str">
        <f>IF(L94="Buy","Sell","Buy")</f>
        <v>Buy</v>
      </c>
      <c r="AK94" s="201">
        <f>SUM(M94)</f>
        <v>30</v>
      </c>
      <c r="AL94" s="30">
        <v>0.04</v>
      </c>
      <c r="AM94" s="105">
        <f>IF(AJ94="Buy",AK94*AL94*-1*100,AK94*AL94*100)</f>
        <v>-120</v>
      </c>
      <c r="AN94" s="139">
        <f>SUM(O94,AM94)</f>
        <v>990</v>
      </c>
      <c r="AO94" s="67"/>
      <c r="AP94" s="67"/>
      <c r="AQ94" s="67"/>
      <c r="AR94" s="284" t="s">
        <v>64</v>
      </c>
      <c r="AS94" s="283"/>
      <c r="AT94" s="283"/>
      <c r="AU94" s="287"/>
      <c r="AV94" s="294" cm="1">
        <f t="array" aca="1" ref="AV94" ca="1">NPendingEvents(AV89,AV90,AV91,AV92,AV93)</f>
        <v>3</v>
      </c>
    </row>
    <row r="95" spans="2:53" x14ac:dyDescent="0.3">
      <c r="B95" s="66" t="s">
        <v>69</v>
      </c>
      <c r="C95" s="378" t="s">
        <v>61</v>
      </c>
      <c r="D95" s="378"/>
      <c r="F95" s="275" t="s">
        <v>43</v>
      </c>
      <c r="G95" s="97" t="s">
        <v>62</v>
      </c>
      <c r="H95" s="97" t="s">
        <v>51</v>
      </c>
      <c r="I95" s="9">
        <v>10.5</v>
      </c>
      <c r="J95" s="10">
        <v>45667</v>
      </c>
      <c r="K95" s="10">
        <v>45636</v>
      </c>
      <c r="L95" s="8" t="s">
        <v>63</v>
      </c>
      <c r="M95" s="8">
        <v>30</v>
      </c>
      <c r="N95" s="30">
        <v>0.43</v>
      </c>
      <c r="O95" s="102">
        <f>IF(L95="Buy",M95*N95*-1*100,M95*N95*100)</f>
        <v>1290</v>
      </c>
      <c r="P95" s="131"/>
      <c r="Q95" s="136"/>
      <c r="R95" s="487"/>
      <c r="S95" s="131"/>
      <c r="T95" s="487"/>
      <c r="U95" s="16"/>
      <c r="V95" s="10">
        <v>45636</v>
      </c>
      <c r="W95" s="127" t="str">
        <f>IF(L95="Buy","Sell","Buy")</f>
        <v>Buy</v>
      </c>
      <c r="X95" s="128">
        <f>SUM(M95)</f>
        <v>30</v>
      </c>
      <c r="Y95" s="30">
        <v>0.06</v>
      </c>
      <c r="Z95" s="105">
        <f t="shared" si="42"/>
        <v>-179.99999999999997</v>
      </c>
      <c r="AA95" s="54">
        <f>IF(H95="Yes",O95*-1,0)</f>
        <v>0</v>
      </c>
      <c r="AB95" s="163">
        <f>SUM(O95,Z95)</f>
        <v>1110</v>
      </c>
      <c r="AH95" s="13"/>
      <c r="AI95" s="127">
        <f>SUM(V95)</f>
        <v>45636</v>
      </c>
      <c r="AJ95" s="127" t="str">
        <f>IF(L95="Buy","Sell","Buy")</f>
        <v>Buy</v>
      </c>
      <c r="AK95" s="201">
        <f>SUM(M95)</f>
        <v>30</v>
      </c>
      <c r="AL95" s="30">
        <v>0.06</v>
      </c>
      <c r="AM95" s="105">
        <f>IF(AJ95="Buy",AK95*AL95*-1*100,AK95*AL95*100)</f>
        <v>-179.99999999999997</v>
      </c>
      <c r="AN95" s="139">
        <f>SUM(O95,AM95)</f>
        <v>1110</v>
      </c>
      <c r="AO95" s="67"/>
      <c r="AP95" s="67"/>
      <c r="AQ95" s="67"/>
      <c r="AR95" s="282" t="s">
        <v>66</v>
      </c>
      <c r="AS95" s="282"/>
      <c r="AT95" s="282"/>
      <c r="AU95" s="288"/>
      <c r="AV95" s="293">
        <v>0.15</v>
      </c>
    </row>
    <row r="96" spans="2:53" ht="15" thickBot="1" x14ac:dyDescent="0.35">
      <c r="B96" s="304" t="s">
        <v>71</v>
      </c>
      <c r="C96" s="378" t="s">
        <v>61</v>
      </c>
      <c r="D96" s="378"/>
      <c r="F96" s="275" t="s">
        <v>43</v>
      </c>
      <c r="G96" s="97" t="s">
        <v>62</v>
      </c>
      <c r="H96" s="97" t="s">
        <v>51</v>
      </c>
      <c r="I96" s="9">
        <v>10</v>
      </c>
      <c r="J96" s="10">
        <v>45681</v>
      </c>
      <c r="K96" s="10">
        <v>45649</v>
      </c>
      <c r="L96" s="8" t="s">
        <v>63</v>
      </c>
      <c r="M96" s="8">
        <v>30</v>
      </c>
      <c r="N96" s="30">
        <v>0.28000000000000003</v>
      </c>
      <c r="O96" s="102">
        <f>IF(L96="Buy",M96*N96*-1*100,M96*N96*100)</f>
        <v>840</v>
      </c>
      <c r="P96" s="131"/>
      <c r="Q96" s="136"/>
      <c r="R96" s="487"/>
      <c r="S96" s="131"/>
      <c r="T96" s="487"/>
      <c r="U96" s="16"/>
      <c r="V96" s="397">
        <f ca="1">$C$4</f>
        <v>45702</v>
      </c>
      <c r="W96" s="127" t="str">
        <f>IF(L96="Buy","Sell","Buy")</f>
        <v>Buy</v>
      </c>
      <c r="X96" s="128">
        <f>SUM(M96)</f>
        <v>30</v>
      </c>
      <c r="Y96" s="30">
        <v>0.13</v>
      </c>
      <c r="Z96" s="105">
        <f t="shared" si="42"/>
        <v>-390.00000000000006</v>
      </c>
      <c r="AA96" s="54">
        <f>IF(H96="Yes",O96*-1,0)</f>
        <v>0</v>
      </c>
      <c r="AB96" s="139">
        <f>SUM(O96,Z96)</f>
        <v>449.99999999999994</v>
      </c>
      <c r="AH96" s="13"/>
      <c r="AI96" s="127">
        <f ca="1">SUM(V96)</f>
        <v>45702</v>
      </c>
      <c r="AJ96" s="127" t="str">
        <f>IF(L96="Buy","Sell","Buy")</f>
        <v>Buy</v>
      </c>
      <c r="AK96" s="201">
        <f>SUM(M96)</f>
        <v>30</v>
      </c>
      <c r="AL96" s="30">
        <v>0.13</v>
      </c>
      <c r="AM96" s="105">
        <f>IF(AJ96="Buy",AK96*AL96*-1*100,AK96*AL96*100)</f>
        <v>-390.00000000000006</v>
      </c>
      <c r="AN96" s="139">
        <f>SUM(O96,AM96)</f>
        <v>449.99999999999994</v>
      </c>
      <c r="AO96" s="67"/>
      <c r="AP96" s="67"/>
      <c r="AQ96" s="67"/>
      <c r="AR96" s="284" t="s">
        <v>68</v>
      </c>
      <c r="AS96" s="283"/>
      <c r="AT96" s="283"/>
      <c r="AU96" s="287"/>
      <c r="AV96" s="294">
        <f>SUM(M84)</f>
        <v>3000</v>
      </c>
    </row>
    <row r="97" spans="1:55" ht="15" thickTop="1" x14ac:dyDescent="0.3">
      <c r="B97" s="304" t="s">
        <v>189</v>
      </c>
      <c r="C97" s="378" t="s">
        <v>61</v>
      </c>
      <c r="D97" s="80"/>
      <c r="F97" s="598" t="s">
        <v>180</v>
      </c>
      <c r="G97" s="592" t="s">
        <v>62</v>
      </c>
      <c r="H97" s="592"/>
      <c r="I97" s="593">
        <v>9.5</v>
      </c>
      <c r="J97" s="424">
        <v>45695</v>
      </c>
      <c r="K97" s="424">
        <v>45665</v>
      </c>
      <c r="L97" s="594" t="s">
        <v>63</v>
      </c>
      <c r="M97" s="594">
        <v>30</v>
      </c>
      <c r="N97" s="596">
        <v>0.53</v>
      </c>
      <c r="O97" s="102">
        <f>IF(L97="Buy",M97*N97*-1*100,M97*N97*100)</f>
        <v>1590</v>
      </c>
      <c r="P97" s="152"/>
      <c r="Q97" s="17"/>
      <c r="R97" s="486"/>
      <c r="S97" s="152"/>
      <c r="T97" s="486"/>
      <c r="U97" s="17"/>
      <c r="V97" s="424">
        <v>45695</v>
      </c>
      <c r="W97" s="127" t="str">
        <f>IF(L97="Buy","Sell","Buy")</f>
        <v>Buy</v>
      </c>
      <c r="X97" s="128">
        <f>SUM(M97)</f>
        <v>30</v>
      </c>
      <c r="Y97" s="394">
        <v>0.02</v>
      </c>
      <c r="Z97" s="105">
        <f>IF(W97="Buy",X97*Y97*-1*100,X97*Y97*100)</f>
        <v>-60</v>
      </c>
      <c r="AA97" s="137"/>
      <c r="AB97" s="139">
        <f t="shared" ref="AB97:AB98" si="43">SUM(O97,Z97)</f>
        <v>1530</v>
      </c>
      <c r="AH97" s="16"/>
      <c r="AI97" s="127">
        <v>45695</v>
      </c>
      <c r="AJ97" s="127" t="str">
        <f>IF(L97="Buy","Sell","Buy")</f>
        <v>Buy</v>
      </c>
      <c r="AK97" s="201">
        <f>SUM(M97)</f>
        <v>30</v>
      </c>
      <c r="AL97" s="394">
        <v>0.02</v>
      </c>
      <c r="AM97" s="106">
        <f>IF(AJ97="Buy",AK97*AL97*-1*100,AK97*AL97*100)</f>
        <v>-60</v>
      </c>
      <c r="AN97" s="139">
        <f>SUM(O97,AM97)</f>
        <v>1530</v>
      </c>
      <c r="AO97" s="532" t="s">
        <v>170</v>
      </c>
      <c r="AP97" s="533"/>
      <c r="AQ97" s="67"/>
      <c r="AR97" s="284" t="s">
        <v>70</v>
      </c>
      <c r="AS97" s="283"/>
      <c r="AT97" s="283"/>
      <c r="AU97" s="287"/>
      <c r="AV97" s="296">
        <f>PRODUCT(AV95,AV96)</f>
        <v>450</v>
      </c>
    </row>
    <row r="98" spans="1:55" x14ac:dyDescent="0.3">
      <c r="B98" s="88" t="s">
        <v>224</v>
      </c>
      <c r="C98" s="80">
        <f>_xll.EPF.Yahoo.Price("F250307C00009500")</f>
        <v>0.17</v>
      </c>
      <c r="D98" s="80"/>
      <c r="F98" s="599" t="s">
        <v>180</v>
      </c>
      <c r="G98" s="586" t="s">
        <v>62</v>
      </c>
      <c r="H98" s="586"/>
      <c r="I98" s="587">
        <v>9.5</v>
      </c>
      <c r="J98" s="582">
        <v>45723</v>
      </c>
      <c r="K98" s="582">
        <v>45695</v>
      </c>
      <c r="L98" s="588" t="s">
        <v>63</v>
      </c>
      <c r="M98" s="588">
        <v>30</v>
      </c>
      <c r="N98" s="590">
        <v>0.15</v>
      </c>
      <c r="O98" s="100">
        <f>IF(L98="Buy",M98*N98*-1*100,M98*N98*100)</f>
        <v>450</v>
      </c>
      <c r="P98" s="152"/>
      <c r="Q98" s="17"/>
      <c r="R98" s="486"/>
      <c r="S98" s="152"/>
      <c r="T98" s="486"/>
      <c r="U98" s="16"/>
      <c r="V98" s="125">
        <f ca="1">$C$4</f>
        <v>45702</v>
      </c>
      <c r="W98" s="125" t="str">
        <f>IF(L98="Buy","Sell","Buy")</f>
        <v>Buy</v>
      </c>
      <c r="X98" s="126">
        <f>SUM(M98)</f>
        <v>30</v>
      </c>
      <c r="Y98" s="197">
        <f>SUM(C98)</f>
        <v>0.17</v>
      </c>
      <c r="Z98" s="103">
        <f>IF(W98="Buy",X98*Y98*-1*100,X98*Y98*100)</f>
        <v>-510.00000000000006</v>
      </c>
      <c r="AA98" s="137"/>
      <c r="AB98" s="138">
        <f t="shared" si="43"/>
        <v>-60.000000000000057</v>
      </c>
      <c r="AH98" s="265"/>
      <c r="AI98" s="582" t="s">
        <v>225</v>
      </c>
      <c r="AJ98" s="125" t="str">
        <f>IF(L98="Buy","Sell","Buy")</f>
        <v>Buy</v>
      </c>
      <c r="AK98" s="195">
        <f>SUM(M98)</f>
        <v>30</v>
      </c>
      <c r="AL98" s="197">
        <f>IF(I98-C84&gt;0,0,C84-I98)</f>
        <v>0</v>
      </c>
      <c r="AM98" s="104">
        <f>IF(AJ98="Buy",AK98*AL98*-1*100,AK98*AL98*100)</f>
        <v>0</v>
      </c>
      <c r="AN98" s="138">
        <f>SUM(O98,AM98)</f>
        <v>450</v>
      </c>
      <c r="AO98" s="67"/>
      <c r="AP98" s="67"/>
      <c r="AQ98" s="67"/>
      <c r="AR98" s="284" t="s">
        <v>72</v>
      </c>
      <c r="AS98" s="283"/>
      <c r="AT98" s="283"/>
      <c r="AU98" s="287"/>
      <c r="AV98" s="296">
        <f ca="1">PRODUCT(AV97,AV94)</f>
        <v>1350</v>
      </c>
    </row>
    <row r="99" spans="1:55" x14ac:dyDescent="0.3">
      <c r="B99" s="7"/>
      <c r="C99" s="2"/>
      <c r="D99" s="2"/>
      <c r="F99" s="140"/>
      <c r="G99" s="72"/>
      <c r="H99" s="72"/>
      <c r="I99" s="14"/>
      <c r="J99" s="15"/>
      <c r="K99" s="15"/>
      <c r="L99" s="12"/>
      <c r="M99" s="12"/>
      <c r="N99" s="77"/>
      <c r="O99" s="134"/>
      <c r="P99" s="131"/>
      <c r="Q99" s="136"/>
      <c r="R99" s="487"/>
      <c r="S99" s="131"/>
      <c r="T99" s="487"/>
      <c r="U99" s="16"/>
      <c r="V99" s="135"/>
      <c r="W99" s="135"/>
      <c r="X99" s="131"/>
      <c r="Y99" s="130"/>
      <c r="Z99" s="136"/>
      <c r="AA99" s="54"/>
      <c r="AB99" s="160"/>
      <c r="AH99" s="13"/>
      <c r="AI99" s="13"/>
      <c r="AJ99" s="12"/>
      <c r="AK99" s="12"/>
      <c r="AL99" s="12"/>
      <c r="AM99" s="12"/>
      <c r="AN99" s="202"/>
      <c r="AO99" s="67"/>
      <c r="AP99" s="67"/>
      <c r="AQ99" s="67"/>
    </row>
    <row r="100" spans="1:55" x14ac:dyDescent="0.3">
      <c r="B100" s="7"/>
      <c r="C100" s="2"/>
      <c r="D100" s="2"/>
      <c r="F100" s="140"/>
      <c r="G100" s="72"/>
      <c r="H100" s="72"/>
      <c r="I100" s="501"/>
      <c r="K100" s="15"/>
      <c r="L100" s="260"/>
      <c r="M100" s="217"/>
      <c r="N100" s="331"/>
      <c r="O100" s="134"/>
      <c r="P100" s="131"/>
      <c r="Q100" s="136"/>
      <c r="R100" s="487"/>
      <c r="S100" s="131"/>
      <c r="T100" s="487"/>
      <c r="U100" s="16"/>
      <c r="V100" s="135"/>
      <c r="W100" s="135"/>
      <c r="X100" s="131"/>
      <c r="Y100" s="130"/>
      <c r="Z100" s="136"/>
      <c r="AA100" s="54"/>
      <c r="AB100" s="160"/>
      <c r="AH100" s="13"/>
      <c r="AI100" s="13"/>
      <c r="AJ100" s="12"/>
      <c r="AK100" s="12"/>
      <c r="AL100" s="12"/>
      <c r="AM100" s="12"/>
      <c r="AN100" s="202"/>
      <c r="AO100" s="67"/>
      <c r="AP100" s="67"/>
      <c r="AQ100" s="67"/>
      <c r="AR100" s="298" t="s">
        <v>73</v>
      </c>
      <c r="AS100" s="284"/>
      <c r="AT100" s="284"/>
      <c r="AU100" s="302"/>
      <c r="AV100" s="295"/>
    </row>
    <row r="101" spans="1:55" x14ac:dyDescent="0.3">
      <c r="B101" s="7"/>
      <c r="C101" s="2"/>
      <c r="D101" s="2"/>
      <c r="F101" s="140"/>
      <c r="G101" s="72"/>
      <c r="H101" s="72"/>
      <c r="I101" s="454"/>
      <c r="J101" s="15"/>
      <c r="K101" s="15"/>
      <c r="L101" s="12"/>
      <c r="M101" s="12"/>
      <c r="N101" s="77"/>
      <c r="O101" s="134"/>
      <c r="P101" s="131"/>
      <c r="Q101" s="136"/>
      <c r="R101" s="487"/>
      <c r="S101" s="131"/>
      <c r="T101" s="487"/>
      <c r="U101" s="16"/>
      <c r="V101" s="135"/>
      <c r="W101" s="135"/>
      <c r="X101" s="131"/>
      <c r="Y101" s="130"/>
      <c r="Z101" s="136"/>
      <c r="AA101" s="54"/>
      <c r="AB101" s="160"/>
      <c r="AH101" s="13"/>
      <c r="AI101" s="13"/>
      <c r="AJ101" s="12"/>
      <c r="AK101" s="12"/>
      <c r="AL101" s="12"/>
      <c r="AM101" s="12"/>
      <c r="AN101" s="202"/>
      <c r="AO101" s="67"/>
      <c r="AP101" s="67"/>
      <c r="AQ101" s="67"/>
      <c r="AR101" s="284" t="s">
        <v>53</v>
      </c>
      <c r="AS101" s="284"/>
      <c r="AT101" s="284"/>
      <c r="AU101" s="302"/>
      <c r="AV101" s="289">
        <f>SUM(AU84)</f>
        <v>45621</v>
      </c>
    </row>
    <row r="102" spans="1:55" x14ac:dyDescent="0.3">
      <c r="B102" s="7"/>
      <c r="C102" s="2"/>
      <c r="D102" s="2"/>
      <c r="F102" s="140"/>
      <c r="G102" s="72"/>
      <c r="H102" s="72"/>
      <c r="I102" s="454"/>
      <c r="J102" s="15"/>
      <c r="K102" s="15"/>
      <c r="L102" s="12"/>
      <c r="M102" s="12"/>
      <c r="N102" s="77"/>
      <c r="O102" s="134"/>
      <c r="P102" s="131"/>
      <c r="Q102" s="136"/>
      <c r="R102" s="487"/>
      <c r="S102" s="131"/>
      <c r="T102" s="487"/>
      <c r="U102" s="16"/>
      <c r="V102" s="135"/>
      <c r="W102" s="135"/>
      <c r="X102" s="131"/>
      <c r="Y102" s="130"/>
      <c r="Z102" s="136"/>
      <c r="AA102" s="54"/>
      <c r="AB102" s="160"/>
      <c r="AH102" s="13"/>
      <c r="AI102" s="13"/>
      <c r="AJ102" s="12"/>
      <c r="AK102" s="12"/>
      <c r="AL102" s="12"/>
      <c r="AM102" s="12"/>
      <c r="AN102" s="202"/>
      <c r="AO102" s="67"/>
      <c r="AP102" s="67"/>
      <c r="AQ102" s="67"/>
      <c r="AR102" s="284" t="s">
        <v>55</v>
      </c>
      <c r="AS102" s="284"/>
      <c r="AT102" s="284"/>
      <c r="AU102" s="302"/>
      <c r="AV102" s="289">
        <f>SUM(AU86)</f>
        <v>46010</v>
      </c>
    </row>
    <row r="103" spans="1:55" x14ac:dyDescent="0.3">
      <c r="B103" s="7"/>
      <c r="C103" s="2"/>
      <c r="D103" s="2"/>
      <c r="F103" s="140"/>
      <c r="G103" s="72"/>
      <c r="H103" s="72"/>
      <c r="I103" s="14"/>
      <c r="J103" s="15"/>
      <c r="K103" s="15"/>
      <c r="L103" s="12"/>
      <c r="M103" s="12"/>
      <c r="N103" s="77"/>
      <c r="O103" s="134"/>
      <c r="P103" s="131"/>
      <c r="Q103" s="136"/>
      <c r="R103" s="487"/>
      <c r="S103" s="131"/>
      <c r="T103" s="487"/>
      <c r="U103" s="16"/>
      <c r="V103" s="135"/>
      <c r="W103" s="135"/>
      <c r="X103" s="131"/>
      <c r="Y103" s="130"/>
      <c r="Z103" s="136"/>
      <c r="AA103" s="54"/>
      <c r="AB103" s="160"/>
      <c r="AH103" s="13"/>
      <c r="AI103" s="13"/>
      <c r="AJ103" s="12"/>
      <c r="AK103" s="12"/>
      <c r="AL103" s="12"/>
      <c r="AM103" s="12"/>
      <c r="AN103" s="202"/>
      <c r="AO103" s="67"/>
      <c r="AP103" s="67"/>
      <c r="AQ103" s="67"/>
      <c r="AR103" s="282" t="s">
        <v>74</v>
      </c>
      <c r="AS103" s="282"/>
      <c r="AT103" s="282"/>
      <c r="AU103" s="288"/>
      <c r="AV103" s="303">
        <v>45695</v>
      </c>
    </row>
    <row r="104" spans="1:55" x14ac:dyDescent="0.3">
      <c r="B104" s="7"/>
      <c r="C104" s="2"/>
      <c r="D104" s="2"/>
      <c r="F104" s="140"/>
      <c r="G104" s="72"/>
      <c r="H104" s="72"/>
      <c r="I104" s="454"/>
      <c r="J104" s="15"/>
      <c r="K104" s="15"/>
      <c r="L104" s="12"/>
      <c r="M104" s="12"/>
      <c r="N104" s="77"/>
      <c r="O104" s="134"/>
      <c r="P104" s="131"/>
      <c r="Q104" s="136"/>
      <c r="R104" s="487"/>
      <c r="S104" s="131"/>
      <c r="T104" s="487"/>
      <c r="U104" s="16"/>
      <c r="V104" s="135"/>
      <c r="W104" s="135"/>
      <c r="X104" s="131"/>
      <c r="Y104" s="130"/>
      <c r="Z104" s="136"/>
      <c r="AA104" s="54"/>
      <c r="AB104" s="160"/>
      <c r="AH104" s="13"/>
      <c r="AI104" s="13"/>
      <c r="AJ104" s="12"/>
      <c r="AK104" s="12"/>
      <c r="AL104" s="12"/>
      <c r="AM104" s="12"/>
      <c r="AN104" s="202"/>
      <c r="AO104" s="67"/>
      <c r="AP104" s="67"/>
      <c r="AQ104" s="67"/>
      <c r="AR104" s="284" t="s">
        <v>57</v>
      </c>
      <c r="AS104" s="283"/>
      <c r="AT104" s="283"/>
      <c r="AU104" s="287"/>
      <c r="AV104" s="289">
        <f ca="1">SUM(AU85)</f>
        <v>45702</v>
      </c>
    </row>
    <row r="105" spans="1:55" x14ac:dyDescent="0.3">
      <c r="B105" s="7"/>
      <c r="C105" s="2"/>
      <c r="D105" s="2"/>
      <c r="F105" s="140"/>
      <c r="G105" s="72"/>
      <c r="H105" s="72"/>
      <c r="I105" s="454"/>
      <c r="J105" s="15"/>
      <c r="K105" s="15"/>
      <c r="L105" s="12"/>
      <c r="M105" s="12"/>
      <c r="N105" s="77"/>
      <c r="O105" s="134"/>
      <c r="P105" s="131"/>
      <c r="Q105" s="136"/>
      <c r="R105" s="487"/>
      <c r="S105" s="131"/>
      <c r="T105" s="487"/>
      <c r="U105" s="16"/>
      <c r="V105" s="135"/>
      <c r="W105" s="135"/>
      <c r="X105" s="131"/>
      <c r="Y105" s="130"/>
      <c r="Z105" s="136"/>
      <c r="AA105" s="54"/>
      <c r="AB105" s="160"/>
      <c r="AH105" s="13"/>
      <c r="AI105" s="13"/>
      <c r="AJ105" s="12"/>
      <c r="AK105" s="12"/>
      <c r="AL105" s="12"/>
      <c r="AM105" s="12"/>
      <c r="AN105" s="202"/>
      <c r="AO105" s="67"/>
      <c r="AP105" s="67"/>
      <c r="AQ105" s="67"/>
      <c r="AR105" s="284" t="s">
        <v>58</v>
      </c>
      <c r="AS105" s="283"/>
      <c r="AT105" s="283"/>
      <c r="AU105" s="287"/>
      <c r="AV105" s="290" t="s">
        <v>75</v>
      </c>
    </row>
    <row r="106" spans="1:55" x14ac:dyDescent="0.3">
      <c r="B106" s="7"/>
      <c r="C106" s="2"/>
      <c r="D106" s="2"/>
      <c r="F106" s="140"/>
      <c r="G106" s="72"/>
      <c r="H106" s="72"/>
      <c r="I106" s="14"/>
      <c r="J106" s="15"/>
      <c r="K106" s="15"/>
      <c r="L106" s="12"/>
      <c r="M106" s="12"/>
      <c r="N106" s="77"/>
      <c r="O106" s="134"/>
      <c r="P106" s="131"/>
      <c r="Q106" s="136"/>
      <c r="R106" s="487"/>
      <c r="S106" s="131"/>
      <c r="T106" s="487"/>
      <c r="U106" s="16"/>
      <c r="V106" s="135"/>
      <c r="W106" s="135"/>
      <c r="X106" s="131"/>
      <c r="Y106" s="130"/>
      <c r="Z106" s="136"/>
      <c r="AA106" s="54"/>
      <c r="AB106" s="160"/>
      <c r="AH106" s="13"/>
      <c r="AI106" s="13"/>
      <c r="AJ106" s="12"/>
      <c r="AK106" s="12"/>
      <c r="AL106" s="12"/>
      <c r="AM106" s="12"/>
      <c r="AN106" s="202"/>
      <c r="AO106" s="67"/>
      <c r="AP106" s="67"/>
      <c r="AQ106" s="67"/>
      <c r="AR106" s="284" t="s">
        <v>76</v>
      </c>
      <c r="AS106" s="283"/>
      <c r="AT106" s="283"/>
      <c r="AU106" s="287"/>
      <c r="AV106" s="294" cm="1">
        <f t="array" aca="1" ref="AV106" ca="1">NPendingEvents(AV101,AV102,AV103,AV104,AV105)</f>
        <v>10</v>
      </c>
    </row>
    <row r="107" spans="1:55" x14ac:dyDescent="0.3">
      <c r="B107" s="7"/>
      <c r="C107" s="2"/>
      <c r="D107" s="2"/>
      <c r="F107" s="140"/>
      <c r="G107" s="72"/>
      <c r="H107" s="72"/>
      <c r="I107" s="14"/>
      <c r="J107" s="15"/>
      <c r="K107" s="15"/>
      <c r="L107" s="12"/>
      <c r="M107" s="12"/>
      <c r="N107" s="77"/>
      <c r="O107" s="134"/>
      <c r="P107" s="131"/>
      <c r="Q107" s="136"/>
      <c r="R107" s="487"/>
      <c r="S107" s="131"/>
      <c r="T107" s="487"/>
      <c r="U107" s="16"/>
      <c r="V107" s="135"/>
      <c r="W107" s="135"/>
      <c r="X107" s="131"/>
      <c r="Y107" s="130"/>
      <c r="Z107" s="136"/>
      <c r="AA107" s="54"/>
      <c r="AB107" s="160"/>
      <c r="AH107" s="13"/>
      <c r="AI107" s="13"/>
      <c r="AJ107" s="554"/>
      <c r="AK107" s="554"/>
      <c r="AL107" s="278"/>
      <c r="AM107" s="689" t="s">
        <v>226</v>
      </c>
      <c r="AN107" s="701">
        <v>450</v>
      </c>
      <c r="AO107" s="279"/>
      <c r="AP107" s="67"/>
      <c r="AQ107" s="67"/>
      <c r="AR107" s="282" t="s">
        <v>77</v>
      </c>
      <c r="AS107" s="282"/>
      <c r="AT107" s="282"/>
      <c r="AU107" s="288"/>
      <c r="AV107" s="65">
        <v>0.15</v>
      </c>
    </row>
    <row r="108" spans="1:55" x14ac:dyDescent="0.3">
      <c r="B108" s="7"/>
      <c r="C108" s="2"/>
      <c r="D108" s="2"/>
      <c r="F108" s="140"/>
      <c r="G108" s="72"/>
      <c r="H108" s="72"/>
      <c r="I108" s="14"/>
      <c r="J108" s="15"/>
      <c r="K108" s="15"/>
      <c r="L108" s="12"/>
      <c r="M108" s="12"/>
      <c r="N108" s="77"/>
      <c r="O108" s="134"/>
      <c r="P108" s="131"/>
      <c r="Q108" s="136"/>
      <c r="R108" s="487"/>
      <c r="S108" s="131"/>
      <c r="T108" s="487"/>
      <c r="U108" s="16"/>
      <c r="V108" s="135"/>
      <c r="W108" s="135"/>
      <c r="X108" s="131"/>
      <c r="Y108" s="130"/>
      <c r="Z108" s="136"/>
      <c r="AA108" s="54"/>
      <c r="AB108" s="160"/>
      <c r="AH108" s="13"/>
      <c r="AI108" s="13"/>
      <c r="AJ108" s="12"/>
      <c r="AK108" s="12"/>
      <c r="AL108" s="194"/>
      <c r="AM108" s="194" t="s">
        <v>78</v>
      </c>
      <c r="AN108" s="285">
        <f ca="1">SUM(AV98)</f>
        <v>1350</v>
      </c>
      <c r="AO108" s="279"/>
      <c r="AP108" s="67"/>
      <c r="AQ108" s="67"/>
      <c r="AR108" s="284" t="s">
        <v>68</v>
      </c>
      <c r="AS108" s="283"/>
      <c r="AT108" s="283"/>
      <c r="AU108" s="287"/>
      <c r="AV108" s="294">
        <f>SUM(M84)</f>
        <v>3000</v>
      </c>
    </row>
    <row r="109" spans="1:55" ht="15" thickBot="1" x14ac:dyDescent="0.35">
      <c r="B109" s="7"/>
      <c r="C109" s="2"/>
      <c r="D109" s="2"/>
      <c r="F109" s="244"/>
      <c r="G109" s="203"/>
      <c r="H109" s="203"/>
      <c r="I109" s="144"/>
      <c r="J109" s="245"/>
      <c r="K109" s="245"/>
      <c r="L109" s="145"/>
      <c r="M109" s="145"/>
      <c r="N109" s="246"/>
      <c r="O109" s="247"/>
      <c r="P109" s="249"/>
      <c r="Q109" s="251"/>
      <c r="R109" s="493"/>
      <c r="S109" s="249"/>
      <c r="T109" s="493"/>
      <c r="U109" s="248"/>
      <c r="V109" s="204"/>
      <c r="W109" s="204"/>
      <c r="X109" s="249"/>
      <c r="Y109" s="250"/>
      <c r="Z109" s="251"/>
      <c r="AA109" s="252"/>
      <c r="AB109" s="253"/>
      <c r="AH109" s="205"/>
      <c r="AI109" s="205"/>
      <c r="AJ109" s="145"/>
      <c r="AK109" s="145"/>
      <c r="AL109" s="374"/>
      <c r="AM109" s="374" t="s">
        <v>79</v>
      </c>
      <c r="AN109" s="285">
        <f ca="1">PRODUCT(AV110)</f>
        <v>4500</v>
      </c>
      <c r="AO109" s="279"/>
      <c r="AP109" s="67"/>
      <c r="AQ109" s="67"/>
      <c r="AR109" s="284" t="s">
        <v>80</v>
      </c>
      <c r="AS109" s="283"/>
      <c r="AT109" s="283"/>
      <c r="AU109" s="287"/>
      <c r="AV109" s="296">
        <f>PRODUCT(AV107,AV108)</f>
        <v>450</v>
      </c>
    </row>
    <row r="110" spans="1:55" ht="15" thickTop="1" x14ac:dyDescent="0.3">
      <c r="K110" s="21"/>
      <c r="M110" s="242"/>
      <c r="O110" s="67"/>
      <c r="U110" s="67"/>
      <c r="V110" s="242"/>
      <c r="W110" s="242"/>
      <c r="X110" s="234"/>
      <c r="Y110" s="235"/>
      <c r="Z110" s="236" t="s">
        <v>81</v>
      </c>
      <c r="AA110" s="237">
        <f>SUM(AA84:AA96)</f>
        <v>38505</v>
      </c>
      <c r="AB110" s="238"/>
      <c r="AC110" s="198">
        <f>SUM(AA110)</f>
        <v>38505</v>
      </c>
      <c r="AE110" s="2"/>
      <c r="AF110" s="540"/>
      <c r="AH110" s="67"/>
      <c r="AI110" s="242"/>
      <c r="AJ110" s="242"/>
      <c r="AK110" s="234"/>
      <c r="AL110" s="235"/>
      <c r="AM110" s="236" t="s">
        <v>81</v>
      </c>
      <c r="AN110" s="241">
        <f>SUM(AA84:AA107)</f>
        <v>38505</v>
      </c>
      <c r="AO110" s="268"/>
      <c r="AP110" s="2"/>
      <c r="AQ110" s="2"/>
      <c r="AR110" s="284" t="s">
        <v>82</v>
      </c>
      <c r="AS110" s="283"/>
      <c r="AT110" s="283"/>
      <c r="AU110" s="287"/>
      <c r="AV110" s="296">
        <f ca="1">PRODUCT(AV106,AV109)</f>
        <v>4500</v>
      </c>
      <c r="AW110" s="300"/>
    </row>
    <row r="111" spans="1:55" ht="15" customHeight="1" x14ac:dyDescent="0.3">
      <c r="I111" s="417" t="s">
        <v>83</v>
      </c>
      <c r="J111" s="418">
        <v>45723</v>
      </c>
      <c r="X111" s="232" t="s">
        <v>84</v>
      </c>
      <c r="Y111" s="113"/>
      <c r="Z111" s="114"/>
      <c r="AA111" s="12"/>
      <c r="AB111" s="142">
        <f>SUM(AB84:AB109)</f>
        <v>1320</v>
      </c>
      <c r="AD111" s="198">
        <f>SUM(AB111)</f>
        <v>1320</v>
      </c>
      <c r="AE111" s="354"/>
      <c r="AF111" s="537"/>
      <c r="AH111" s="2"/>
      <c r="AI111" s="5"/>
      <c r="AJ111" s="5"/>
      <c r="AK111" s="232" t="s">
        <v>84</v>
      </c>
      <c r="AL111" s="113"/>
      <c r="AM111" s="114"/>
      <c r="AN111" s="142">
        <f ca="1">SUM(AN84:AN109)</f>
        <v>4935</v>
      </c>
      <c r="AO111" s="269"/>
      <c r="AP111" s="142">
        <f ca="1">AN111</f>
        <v>4935</v>
      </c>
      <c r="AQ111" s="354"/>
      <c r="AW111" s="24"/>
    </row>
    <row r="112" spans="1:55" s="57" customFormat="1" x14ac:dyDescent="0.3">
      <c r="A112" s="20"/>
      <c r="B112" s="1"/>
      <c r="C112" s="70"/>
      <c r="D112" s="70"/>
      <c r="E112" s="1"/>
      <c r="F112" s="2"/>
      <c r="G112" s="3"/>
      <c r="H112" s="1"/>
      <c r="I112" s="1"/>
      <c r="J112" s="1"/>
      <c r="K112" s="5"/>
      <c r="L112" s="5"/>
      <c r="M112" s="5"/>
      <c r="N112" s="108"/>
      <c r="O112" s="2"/>
      <c r="P112" s="470"/>
      <c r="Q112" s="5"/>
      <c r="R112" s="483"/>
      <c r="S112" s="470"/>
      <c r="T112" s="483"/>
      <c r="U112" s="2"/>
      <c r="V112" s="5"/>
      <c r="W112" s="5"/>
      <c r="X112" s="232" t="s">
        <v>85</v>
      </c>
      <c r="Y112" s="115"/>
      <c r="Z112" s="115"/>
      <c r="AA112" s="12"/>
      <c r="AB112" s="143">
        <f ca="1">_xlfn.DAYS(AB81,AB80)</f>
        <v>81</v>
      </c>
      <c r="AC112" s="37"/>
      <c r="AD112" s="37"/>
      <c r="AE112" s="37"/>
      <c r="AF112" s="538"/>
      <c r="AG112" s="653"/>
      <c r="AH112" s="2"/>
      <c r="AI112" s="5"/>
      <c r="AJ112" s="5"/>
      <c r="AK112" s="232" t="s">
        <v>85</v>
      </c>
      <c r="AL112" s="115"/>
      <c r="AM112" s="115"/>
      <c r="AN112" s="143">
        <f>_xlfn.DAYS(AN81,AN80)</f>
        <v>389</v>
      </c>
      <c r="AO112" s="270"/>
      <c r="AP112" s="37"/>
      <c r="AQ112" s="37"/>
      <c r="AR112"/>
      <c r="AS112"/>
      <c r="AT112"/>
      <c r="AU112" s="20"/>
      <c r="AV112" s="1"/>
      <c r="AW112"/>
      <c r="AX112"/>
      <c r="AY112"/>
      <c r="AZ112"/>
      <c r="BA112"/>
      <c r="BB112"/>
      <c r="BC112"/>
    </row>
    <row r="113" spans="2:53" ht="15" thickBot="1" x14ac:dyDescent="0.35">
      <c r="B113" s="415"/>
      <c r="E113" s="415"/>
      <c r="F113" s="414"/>
      <c r="G113" s="243"/>
      <c r="H113" s="415"/>
      <c r="I113" s="415"/>
      <c r="J113" s="415"/>
      <c r="K113" s="70"/>
      <c r="L113" s="70"/>
      <c r="M113" s="70"/>
      <c r="N113" s="111"/>
      <c r="O113" s="414"/>
      <c r="P113" s="474"/>
      <c r="Q113" s="70"/>
      <c r="R113" s="491"/>
      <c r="S113" s="474"/>
      <c r="T113" s="491"/>
      <c r="U113" s="414"/>
      <c r="V113" s="70"/>
      <c r="W113" s="70"/>
      <c r="X113" s="232" t="s">
        <v>87</v>
      </c>
      <c r="Y113" s="113"/>
      <c r="Z113" s="114"/>
      <c r="AA113" s="113"/>
      <c r="AB113" s="149">
        <f>PRODUCT(AB111,100,1/AA110)</f>
        <v>3.4281262173743667</v>
      </c>
      <c r="AC113" s="71"/>
      <c r="AD113" s="71"/>
      <c r="AE113" s="71"/>
      <c r="AF113" s="539"/>
      <c r="AH113" s="414"/>
      <c r="AI113" s="70"/>
      <c r="AJ113" s="70"/>
      <c r="AK113" s="232" t="s">
        <v>87</v>
      </c>
      <c r="AL113" s="113"/>
      <c r="AM113" s="114"/>
      <c r="AN113" s="149">
        <f ca="1">PRODUCT(AN111,100,1/AN110)</f>
        <v>12.816517335410985</v>
      </c>
      <c r="AO113" s="71"/>
      <c r="AP113" s="71"/>
      <c r="AQ113" s="71"/>
    </row>
    <row r="114" spans="2:53" ht="57.6" customHeight="1" thickTop="1" thickBot="1" x14ac:dyDescent="0.35">
      <c r="X114" s="233" t="s">
        <v>89</v>
      </c>
      <c r="Y114" s="147"/>
      <c r="Z114" s="147"/>
      <c r="AA114" s="148"/>
      <c r="AB114" s="151">
        <f ca="1">PRODUCT(AB113,365,1/AB112)</f>
        <v>15.447729251131406</v>
      </c>
      <c r="AC114"/>
      <c r="AD114"/>
      <c r="AE114"/>
      <c r="AF114" s="538"/>
      <c r="AH114" s="2"/>
      <c r="AI114" s="5"/>
      <c r="AJ114" s="5"/>
      <c r="AK114" s="233" t="s">
        <v>89</v>
      </c>
      <c r="AL114" s="147"/>
      <c r="AM114" s="147"/>
      <c r="AN114" s="151">
        <f ca="1">PRODUCT(AN113,365,1/AN112)</f>
        <v>12.025781047365063</v>
      </c>
      <c r="AO114"/>
      <c r="AP114"/>
      <c r="AQ114"/>
    </row>
    <row r="115" spans="2:53" ht="15" thickTop="1" x14ac:dyDescent="0.3">
      <c r="AH115" s="153"/>
      <c r="AI115" s="153"/>
      <c r="AJ115" s="90"/>
      <c r="AK115" s="403"/>
      <c r="AL115" s="20"/>
      <c r="AM115" s="90"/>
      <c r="AN115" s="403"/>
      <c r="AO115" s="403"/>
      <c r="AP115" s="403"/>
      <c r="AQ115" s="403"/>
      <c r="AV115" s="403"/>
      <c r="AW115" s="403"/>
      <c r="AX115" s="403"/>
      <c r="AY115" s="403"/>
      <c r="AZ115" s="403"/>
      <c r="BA115" s="403"/>
    </row>
    <row r="116" spans="2:53" x14ac:dyDescent="0.3">
      <c r="AH116" s="153"/>
      <c r="AI116" s="153"/>
      <c r="AJ116" s="90"/>
      <c r="AK116" s="403"/>
      <c r="AL116" s="20"/>
      <c r="AM116" s="90"/>
      <c r="AN116" s="403"/>
      <c r="AO116" s="403"/>
      <c r="AP116" s="403"/>
      <c r="AQ116" s="403"/>
      <c r="AV116" s="403"/>
      <c r="AW116" s="403"/>
      <c r="AX116" s="403"/>
      <c r="AY116" s="403"/>
      <c r="AZ116" s="403"/>
      <c r="BA116" s="403"/>
    </row>
    <row r="117" spans="2:53" x14ac:dyDescent="0.3">
      <c r="AH117" s="153"/>
      <c r="AI117" s="153"/>
      <c r="AJ117" s="90"/>
      <c r="AK117" s="403"/>
      <c r="AL117" s="20"/>
      <c r="AM117" s="90"/>
      <c r="AN117" s="403"/>
      <c r="AO117" s="403"/>
      <c r="AP117" s="403"/>
      <c r="AQ117" s="403"/>
      <c r="AV117" s="403"/>
      <c r="AW117" s="403"/>
      <c r="AX117" s="403"/>
      <c r="AY117" s="403"/>
      <c r="AZ117" s="403"/>
      <c r="BA117" s="403"/>
    </row>
    <row r="118" spans="2:53" ht="15" thickBot="1" x14ac:dyDescent="0.35">
      <c r="AH118" s="153"/>
      <c r="AI118" s="153"/>
      <c r="AJ118" s="90"/>
      <c r="AK118" s="403"/>
      <c r="AL118" s="20"/>
      <c r="AM118" s="90"/>
      <c r="AN118" s="403"/>
      <c r="AO118" s="403"/>
      <c r="AP118" s="403"/>
      <c r="AQ118" s="403"/>
      <c r="AV118" s="403"/>
      <c r="AW118" s="403"/>
      <c r="AX118" s="403"/>
      <c r="AY118" s="403"/>
      <c r="AZ118" s="403"/>
      <c r="BA118" s="403"/>
    </row>
    <row r="119" spans="2:53" ht="15" customHeight="1" thickTop="1" x14ac:dyDescent="0.3">
      <c r="F119" s="45" t="s">
        <v>102</v>
      </c>
      <c r="G119" s="25"/>
      <c r="H119" s="25" t="s">
        <v>2</v>
      </c>
      <c r="I119" s="896" t="s">
        <v>103</v>
      </c>
      <c r="J119" s="814"/>
      <c r="K119" s="814"/>
      <c r="L119" s="897"/>
      <c r="M119" s="164"/>
      <c r="N119" s="165"/>
      <c r="O119" s="166" t="s">
        <v>3</v>
      </c>
      <c r="P119" s="471"/>
      <c r="Q119" s="502"/>
      <c r="R119" s="489"/>
      <c r="S119" s="471"/>
      <c r="T119" s="489"/>
      <c r="U119" s="167"/>
      <c r="V119" s="168"/>
      <c r="W119" s="93"/>
      <c r="X119" s="892" t="s">
        <v>4</v>
      </c>
      <c r="Y119" s="893"/>
      <c r="Z119" s="323"/>
      <c r="AA119" s="324" t="s">
        <v>5</v>
      </c>
      <c r="AB119" s="325">
        <f>K123</f>
        <v>45645</v>
      </c>
      <c r="AH119" s="167"/>
      <c r="AI119" s="168"/>
      <c r="AJ119" s="93"/>
      <c r="AK119" s="892" t="s">
        <v>4</v>
      </c>
      <c r="AL119" s="893"/>
      <c r="AM119" s="326"/>
      <c r="AN119" s="256">
        <f>SUM(K124)</f>
        <v>45645</v>
      </c>
      <c r="AO119" s="403"/>
      <c r="AP119" s="403"/>
      <c r="AQ119" s="403"/>
      <c r="AV119" s="403"/>
      <c r="AW119" s="403"/>
      <c r="AX119" s="403"/>
      <c r="AY119" s="403"/>
      <c r="AZ119" s="403"/>
      <c r="BA119" s="403"/>
    </row>
    <row r="120" spans="2:53" ht="15" customHeight="1" thickBot="1" x14ac:dyDescent="0.35">
      <c r="F120" s="56" t="s">
        <v>104</v>
      </c>
      <c r="G120" s="27" t="s">
        <v>105</v>
      </c>
      <c r="H120" s="27"/>
      <c r="I120" s="898"/>
      <c r="J120" s="899"/>
      <c r="K120" s="899"/>
      <c r="L120" s="900"/>
      <c r="M120" s="115"/>
      <c r="N120" s="171"/>
      <c r="O120" s="172" t="s">
        <v>6</v>
      </c>
      <c r="P120" s="472"/>
      <c r="Q120" s="503"/>
      <c r="R120" s="490"/>
      <c r="S120" s="472"/>
      <c r="T120" s="490"/>
      <c r="U120" s="173"/>
      <c r="V120" s="174"/>
      <c r="W120" s="175"/>
      <c r="X120" s="894"/>
      <c r="Y120" s="895"/>
      <c r="Z120" s="209"/>
      <c r="AA120" s="210" t="s">
        <v>7</v>
      </c>
      <c r="AB120" s="211">
        <f ca="1">$C$4</f>
        <v>45702</v>
      </c>
      <c r="AH120" s="173"/>
      <c r="AI120" s="174"/>
      <c r="AJ120" s="175"/>
      <c r="AK120" s="894"/>
      <c r="AL120" s="895"/>
      <c r="AM120" s="255"/>
      <c r="AN120" s="257">
        <f>SUM(J124)</f>
        <v>46010</v>
      </c>
      <c r="AO120" s="58"/>
      <c r="AP120" s="58"/>
      <c r="AQ120" s="58"/>
      <c r="AU120" s="226"/>
      <c r="AV120" s="70"/>
      <c r="AX120" s="414"/>
      <c r="AY120" s="228"/>
      <c r="AZ120" s="415"/>
      <c r="BA120" s="416"/>
    </row>
    <row r="121" spans="2:53" ht="58.2" customHeight="1" thickTop="1" thickBot="1" x14ac:dyDescent="0.4">
      <c r="B121" s="1" t="s">
        <v>8</v>
      </c>
      <c r="F121" s="935" t="s">
        <v>9</v>
      </c>
      <c r="G121" s="906" t="s">
        <v>10</v>
      </c>
      <c r="H121" s="398" t="s">
        <v>11</v>
      </c>
      <c r="I121" s="906" t="s">
        <v>12</v>
      </c>
      <c r="J121" s="906" t="s">
        <v>13</v>
      </c>
      <c r="K121" s="906" t="s">
        <v>14</v>
      </c>
      <c r="L121" s="906" t="s">
        <v>15</v>
      </c>
      <c r="M121" s="906" t="s">
        <v>106</v>
      </c>
      <c r="N121" s="398" t="s">
        <v>17</v>
      </c>
      <c r="O121" s="908" t="s">
        <v>18</v>
      </c>
      <c r="P121" s="904" t="s">
        <v>165</v>
      </c>
      <c r="Q121" s="504"/>
      <c r="R121" s="484"/>
      <c r="S121" s="479" t="s">
        <v>164</v>
      </c>
      <c r="T121" s="484"/>
      <c r="U121" s="182"/>
      <c r="V121" s="407" t="s">
        <v>19</v>
      </c>
      <c r="W121" s="407" t="s">
        <v>20</v>
      </c>
      <c r="X121" s="408" t="s">
        <v>16</v>
      </c>
      <c r="Y121" s="407" t="s">
        <v>21</v>
      </c>
      <c r="Z121" s="402" t="s">
        <v>22</v>
      </c>
      <c r="AA121" s="402" t="s">
        <v>23</v>
      </c>
      <c r="AB121" s="409" t="s">
        <v>24</v>
      </c>
      <c r="AC121" s="403"/>
      <c r="AD121" s="403"/>
      <c r="AE121" s="403"/>
      <c r="AF121" s="541"/>
      <c r="AH121" s="99"/>
      <c r="AI121" s="401" t="s">
        <v>25</v>
      </c>
      <c r="AJ121" s="887" t="s">
        <v>20</v>
      </c>
      <c r="AK121" s="886" t="s">
        <v>16</v>
      </c>
      <c r="AL121" s="401" t="s">
        <v>26</v>
      </c>
      <c r="AM121" s="401" t="s">
        <v>27</v>
      </c>
      <c r="AN121" s="879" t="s">
        <v>28</v>
      </c>
      <c r="AO121" s="888"/>
      <c r="AP121" s="403"/>
      <c r="AQ121" s="403"/>
    </row>
    <row r="122" spans="2:53" ht="58.8" thickTop="1" thickBot="1" x14ac:dyDescent="0.35">
      <c r="B122" s="89" t="s">
        <v>29</v>
      </c>
      <c r="F122" s="936"/>
      <c r="G122" s="910"/>
      <c r="H122" s="399"/>
      <c r="I122" s="910"/>
      <c r="J122" s="910"/>
      <c r="K122" s="910"/>
      <c r="L122" s="910"/>
      <c r="M122" s="907"/>
      <c r="N122" s="64" t="s">
        <v>30</v>
      </c>
      <c r="O122" s="909"/>
      <c r="P122" s="905"/>
      <c r="Q122" s="504"/>
      <c r="R122" s="484"/>
      <c r="S122" s="480"/>
      <c r="T122" s="484"/>
      <c r="U122" s="183"/>
      <c r="V122" s="199" t="s">
        <v>31</v>
      </c>
      <c r="W122" s="402"/>
      <c r="X122" s="406"/>
      <c r="Y122" s="199" t="s">
        <v>32</v>
      </c>
      <c r="Z122" s="120" t="s">
        <v>33</v>
      </c>
      <c r="AA122" s="402"/>
      <c r="AB122" s="409"/>
      <c r="AC122" s="403"/>
      <c r="AD122" s="403"/>
      <c r="AE122" s="403"/>
      <c r="AF122" s="541"/>
      <c r="AH122" s="118"/>
      <c r="AI122" s="261" t="s">
        <v>34</v>
      </c>
      <c r="AJ122" s="869"/>
      <c r="AK122" s="882"/>
      <c r="AL122" s="199" t="s">
        <v>32</v>
      </c>
      <c r="AM122" s="120" t="s">
        <v>33</v>
      </c>
      <c r="AN122" s="880"/>
      <c r="AO122" s="888"/>
      <c r="AP122" s="403"/>
      <c r="AQ122" s="403"/>
      <c r="AR122" s="370"/>
      <c r="AS122" s="371" t="s">
        <v>4</v>
      </c>
      <c r="AT122" s="372"/>
      <c r="AU122" s="367" t="s">
        <v>35</v>
      </c>
      <c r="AV122" s="400" t="s">
        <v>36</v>
      </c>
      <c r="AW122" s="400" t="s">
        <v>37</v>
      </c>
      <c r="AX122" s="400" t="s">
        <v>38</v>
      </c>
      <c r="AY122" s="400" t="s">
        <v>39</v>
      </c>
      <c r="AZ122" s="400" t="s">
        <v>40</v>
      </c>
      <c r="BA122" s="218" t="s">
        <v>41</v>
      </c>
    </row>
    <row r="123" spans="2:53" ht="15" customHeight="1" thickTop="1" thickBot="1" x14ac:dyDescent="0.35">
      <c r="B123" s="87" t="s">
        <v>42</v>
      </c>
      <c r="C123" s="376">
        <f>_xll.EPF.Yahoo.Price("f")</f>
        <v>9.4450000000000003</v>
      </c>
      <c r="D123" s="376"/>
      <c r="E123" s="18" t="s">
        <v>107</v>
      </c>
      <c r="F123" s="47" t="s">
        <v>43</v>
      </c>
      <c r="G123" s="412" t="s">
        <v>44</v>
      </c>
      <c r="H123" s="412" t="s">
        <v>45</v>
      </c>
      <c r="I123" s="46"/>
      <c r="J123" s="412"/>
      <c r="K123" s="51">
        <v>45645</v>
      </c>
      <c r="L123" s="412" t="s">
        <v>47</v>
      </c>
      <c r="M123" s="38">
        <v>4000</v>
      </c>
      <c r="N123" s="39">
        <v>9.7568000000000001</v>
      </c>
      <c r="O123" s="185">
        <f>IF(L123="Buy",M123*N123*-1,M123*N123)</f>
        <v>-39027.199999999997</v>
      </c>
      <c r="P123" s="482"/>
      <c r="Q123" s="506"/>
      <c r="R123" s="492"/>
      <c r="S123" s="482"/>
      <c r="T123" s="492"/>
      <c r="U123" s="184"/>
      <c r="V123" s="211">
        <f ca="1">$C$4</f>
        <v>45702</v>
      </c>
      <c r="W123" s="125" t="str">
        <f>IF(L123="Buy","Sell","Buy")</f>
        <v>Sell</v>
      </c>
      <c r="X123" s="126">
        <f>SUM(M123)</f>
        <v>4000</v>
      </c>
      <c r="Y123" s="197">
        <f>SUM(C123)</f>
        <v>9.4450000000000003</v>
      </c>
      <c r="Z123" s="104">
        <f>IF(W123="Buy",X123*Y123*-1,X123*Y123)</f>
        <v>37780</v>
      </c>
      <c r="AA123" s="104">
        <f>IF(H123="Yes",O123*-1,0)</f>
        <v>39027.199999999997</v>
      </c>
      <c r="AB123" s="138">
        <f>SUM(O123,Z123)</f>
        <v>-1247.1999999999971</v>
      </c>
      <c r="AC123" s="69"/>
      <c r="AD123" s="69"/>
      <c r="AE123" s="69"/>
      <c r="AF123" s="542"/>
      <c r="AH123" s="274"/>
      <c r="AI123" s="125">
        <f>SUM(J124)</f>
        <v>46010</v>
      </c>
      <c r="AJ123" s="125" t="str">
        <f>IF(L123="Buy","Sell","Buy")</f>
        <v>Sell</v>
      </c>
      <c r="AK123" s="195">
        <f>SUM(M123)</f>
        <v>4000</v>
      </c>
      <c r="AL123" s="200">
        <f>C123</f>
        <v>9.4450000000000003</v>
      </c>
      <c r="AM123" s="104">
        <f>IF(AJ123="Buy",AK123*AL123*-1,AK123*AL123)</f>
        <v>37780</v>
      </c>
      <c r="AN123" s="138">
        <f>SUM(O123,AM123)</f>
        <v>-1247.1999999999971</v>
      </c>
      <c r="AO123" s="58"/>
      <c r="AP123" s="58"/>
      <c r="AQ123" s="58"/>
      <c r="AR123" s="368" t="s">
        <v>5</v>
      </c>
      <c r="AS123" s="369"/>
      <c r="AT123" s="369"/>
      <c r="AU123" s="214">
        <f>SUM(AB119)</f>
        <v>45645</v>
      </c>
      <c r="AV123" s="858">
        <f>SUM(AA149)</f>
        <v>44867.199999999997</v>
      </c>
      <c r="AW123" s="213"/>
      <c r="AX123" s="861">
        <f ca="1">SUM(AW125,-AW124)</f>
        <v>13430.000000000002</v>
      </c>
      <c r="AY123" s="219"/>
      <c r="AZ123" s="872">
        <f ca="1">SUM(AY125,-1*AY124)</f>
        <v>308</v>
      </c>
      <c r="BA123" s="911">
        <f ca="1">PRODUCT(30,1/AZ123,AX123)</f>
        <v>1308.1168831168834</v>
      </c>
    </row>
    <row r="124" spans="2:53" ht="15.6" customHeight="1" thickTop="1" thickBot="1" x14ac:dyDescent="0.35">
      <c r="B124" s="88" t="s">
        <v>108</v>
      </c>
      <c r="C124" s="79">
        <f>_xll.EPF.Yahoo.Price("F251219P00009820")</f>
        <v>1.44</v>
      </c>
      <c r="D124" s="79"/>
      <c r="E124" s="278" t="s">
        <v>109</v>
      </c>
      <c r="F124" s="48" t="s">
        <v>43</v>
      </c>
      <c r="G124" s="49" t="s">
        <v>49</v>
      </c>
      <c r="H124" s="49" t="s">
        <v>45</v>
      </c>
      <c r="I124" s="43">
        <v>9.82</v>
      </c>
      <c r="J124" s="44">
        <v>46010</v>
      </c>
      <c r="K124" s="51">
        <v>45645</v>
      </c>
      <c r="L124" s="40" t="s">
        <v>47</v>
      </c>
      <c r="M124" s="41">
        <v>40</v>
      </c>
      <c r="N124" s="42">
        <v>1.46</v>
      </c>
      <c r="O124" s="100">
        <f>IF(L124="Buy",M124*N124*-1*100,M124*N124*100)</f>
        <v>-5840</v>
      </c>
      <c r="P124" s="131"/>
      <c r="Q124" s="136"/>
      <c r="R124" s="487"/>
      <c r="S124" s="131"/>
      <c r="T124" s="487"/>
      <c r="U124" s="16"/>
      <c r="V124" s="211">
        <f ca="1">$C$4</f>
        <v>45702</v>
      </c>
      <c r="W124" s="125" t="str">
        <f>IF(L124="Buy","Sell","Buy")</f>
        <v>Sell</v>
      </c>
      <c r="X124" s="126">
        <f>SUM(M124)</f>
        <v>40</v>
      </c>
      <c r="Y124" s="197">
        <f>SUM(C124)</f>
        <v>1.44</v>
      </c>
      <c r="Z124" s="103">
        <f t="shared" ref="Z124" si="44">IF(W124="Buy",X124*Y124*-1*100,X124*Y124*100)</f>
        <v>5759.9999999999991</v>
      </c>
      <c r="AA124" s="104">
        <f>IF(H124="Yes",O124*-1,0)</f>
        <v>5840</v>
      </c>
      <c r="AB124" s="138">
        <f>SUM(O124,Z124)</f>
        <v>-80.000000000000909</v>
      </c>
      <c r="AC124" s="37"/>
      <c r="AD124" s="37"/>
      <c r="AE124" s="37"/>
      <c r="AF124" s="538"/>
      <c r="AH124" s="16"/>
      <c r="AI124" s="125">
        <f>SUM(J124)</f>
        <v>46010</v>
      </c>
      <c r="AJ124" s="125" t="str">
        <f>IF(L124="Buy","Sell","Buy")</f>
        <v>Sell</v>
      </c>
      <c r="AK124" s="195">
        <f>SUM(M124)</f>
        <v>40</v>
      </c>
      <c r="AL124" s="197">
        <f>IF(I124-C123&lt;0,0,I124-C123)</f>
        <v>0.375</v>
      </c>
      <c r="AM124" s="104">
        <f>IF(AJ124="Buy",AK124*AL124*-1*100,AK124*AL124*100)</f>
        <v>1500</v>
      </c>
      <c r="AN124" s="138">
        <f>SUM(O124,AM124)</f>
        <v>-4340</v>
      </c>
      <c r="AO124" s="58"/>
      <c r="AP124" s="58"/>
      <c r="AQ124" s="58"/>
      <c r="AR124" s="212" t="s">
        <v>7</v>
      </c>
      <c r="AS124" s="213"/>
      <c r="AT124" s="213"/>
      <c r="AU124" s="214">
        <f ca="1">SUM(AB120)</f>
        <v>45702</v>
      </c>
      <c r="AV124" s="859"/>
      <c r="AW124" s="220">
        <f>SUM(AB150)</f>
        <v>966.00000000000205</v>
      </c>
      <c r="AX124" s="862"/>
      <c r="AY124" s="195">
        <f ca="1">SUM(AB151)</f>
        <v>57</v>
      </c>
      <c r="AZ124" s="873"/>
      <c r="BA124" s="912"/>
    </row>
    <row r="125" spans="2:53" ht="15" customHeight="1" thickTop="1" thickBot="1" x14ac:dyDescent="0.35">
      <c r="B125" s="7"/>
      <c r="C125" s="5"/>
      <c r="D125" s="5"/>
      <c r="F125" s="74"/>
      <c r="G125" s="72"/>
      <c r="H125" s="72"/>
      <c r="I125" s="14"/>
      <c r="J125" s="15"/>
      <c r="K125" s="15"/>
      <c r="L125" s="12"/>
      <c r="M125" s="12"/>
      <c r="N125" s="77"/>
      <c r="O125" s="134"/>
      <c r="P125" s="131"/>
      <c r="Q125" s="136"/>
      <c r="R125" s="487"/>
      <c r="S125" s="131"/>
      <c r="T125" s="487"/>
      <c r="U125" s="16"/>
      <c r="V125" s="191"/>
      <c r="W125" s="135"/>
      <c r="X125" s="131"/>
      <c r="Y125" s="259"/>
      <c r="Z125" s="136"/>
      <c r="AA125" s="137"/>
      <c r="AB125" s="141"/>
      <c r="AC125" s="37"/>
      <c r="AD125" s="37"/>
      <c r="AE125" s="37"/>
      <c r="AF125" s="538"/>
      <c r="AH125" s="16"/>
      <c r="AI125" s="15"/>
      <c r="AJ125" s="12"/>
      <c r="AK125" s="152"/>
      <c r="AL125" s="77"/>
      <c r="AM125" s="17"/>
      <c r="AN125" s="160"/>
      <c r="AO125" s="58"/>
      <c r="AP125" s="58"/>
      <c r="AQ125" s="58"/>
      <c r="AR125" s="215" t="s">
        <v>50</v>
      </c>
      <c r="AS125" s="216"/>
      <c r="AT125" s="216"/>
      <c r="AU125" s="214">
        <f>SUM(AN120)</f>
        <v>46010</v>
      </c>
      <c r="AV125" s="860"/>
      <c r="AW125" s="221">
        <f ca="1">SUM(AN150)</f>
        <v>14396.000000000004</v>
      </c>
      <c r="AX125" s="863"/>
      <c r="AY125" s="222">
        <f>SUM(AN151)</f>
        <v>365</v>
      </c>
      <c r="AZ125" s="874"/>
      <c r="BA125" s="913"/>
    </row>
    <row r="126" spans="2:53" x14ac:dyDescent="0.3">
      <c r="F126" s="74"/>
      <c r="G126" s="72"/>
      <c r="H126" s="72"/>
      <c r="I126" s="14"/>
      <c r="J126" s="15"/>
      <c r="K126" s="15"/>
      <c r="L126" s="12"/>
      <c r="M126" s="12"/>
      <c r="N126" s="77"/>
      <c r="O126" s="16"/>
      <c r="P126" s="83"/>
      <c r="Q126" s="189"/>
      <c r="R126" s="494"/>
      <c r="S126" s="83"/>
      <c r="T126" s="494"/>
      <c r="U126" s="81"/>
      <c r="V126" s="82"/>
      <c r="W126" s="12"/>
      <c r="X126" s="83"/>
      <c r="Y126" s="84"/>
      <c r="Z126" s="17"/>
      <c r="AA126" s="54"/>
      <c r="AB126" s="85"/>
      <c r="AH126" s="13"/>
      <c r="AI126" s="12"/>
      <c r="AJ126" s="12"/>
      <c r="AK126" s="73"/>
      <c r="AL126" s="12"/>
      <c r="AM126" s="12"/>
      <c r="AN126" s="202"/>
      <c r="AO126" s="58"/>
      <c r="AP126" s="58"/>
      <c r="AQ126" s="58"/>
    </row>
    <row r="127" spans="2:53" x14ac:dyDescent="0.3">
      <c r="F127" s="186"/>
      <c r="G127" s="112"/>
      <c r="H127" s="112"/>
      <c r="I127" s="187"/>
      <c r="J127" s="86"/>
      <c r="K127" s="86"/>
      <c r="L127" s="6"/>
      <c r="M127" s="6"/>
      <c r="N127" s="84"/>
      <c r="O127" s="81"/>
      <c r="P127" s="83"/>
      <c r="Q127" s="189"/>
      <c r="R127" s="494"/>
      <c r="S127" s="83"/>
      <c r="T127" s="494"/>
      <c r="U127" s="81"/>
      <c r="V127" s="188"/>
      <c r="W127" s="6"/>
      <c r="X127" s="83"/>
      <c r="Y127" s="84"/>
      <c r="Z127" s="189"/>
      <c r="AA127" s="68"/>
      <c r="AB127" s="190"/>
      <c r="AC127" s="37"/>
      <c r="AD127" s="37"/>
      <c r="AE127" s="37"/>
      <c r="AF127" s="538"/>
      <c r="AH127" s="13"/>
      <c r="AI127" s="12"/>
      <c r="AJ127" s="12"/>
      <c r="AK127" s="73"/>
      <c r="AL127" s="12"/>
      <c r="AM127" s="12"/>
      <c r="AN127" s="202"/>
      <c r="AO127" s="58"/>
      <c r="AP127" s="58"/>
      <c r="AQ127" s="58"/>
      <c r="AR127" s="298" t="s">
        <v>52</v>
      </c>
      <c r="AS127" s="295"/>
      <c r="AT127" s="295"/>
      <c r="AU127" s="295"/>
      <c r="AV127" s="295"/>
      <c r="AW127" s="297"/>
      <c r="AX127" s="297"/>
      <c r="AY127" s="297"/>
      <c r="AZ127" s="297"/>
    </row>
    <row r="128" spans="2:53" x14ac:dyDescent="0.3">
      <c r="F128" s="186"/>
      <c r="G128" s="112"/>
      <c r="H128" s="112"/>
      <c r="I128" s="187"/>
      <c r="J128" s="86"/>
      <c r="K128" s="86"/>
      <c r="L128" s="6"/>
      <c r="M128" s="6"/>
      <c r="N128" s="84"/>
      <c r="O128" s="81"/>
      <c r="P128" s="83"/>
      <c r="Q128" s="189"/>
      <c r="R128" s="494"/>
      <c r="S128" s="83"/>
      <c r="T128" s="494"/>
      <c r="U128" s="81"/>
      <c r="V128" s="188"/>
      <c r="W128" s="6"/>
      <c r="X128" s="83"/>
      <c r="Y128" s="84"/>
      <c r="Z128" s="189"/>
      <c r="AA128" s="68"/>
      <c r="AB128" s="190"/>
      <c r="AC128" s="37"/>
      <c r="AD128" s="37"/>
      <c r="AE128" s="37"/>
      <c r="AF128" s="538"/>
      <c r="AH128" s="13"/>
      <c r="AI128" s="13"/>
      <c r="AJ128" s="12"/>
      <c r="AK128" s="12"/>
      <c r="AL128" s="12"/>
      <c r="AM128" s="12"/>
      <c r="AN128" s="202"/>
      <c r="AO128" s="58"/>
      <c r="AP128" s="58"/>
      <c r="AQ128" s="58"/>
      <c r="AR128" s="284" t="s">
        <v>53</v>
      </c>
      <c r="AS128" s="283"/>
      <c r="AT128" s="283"/>
      <c r="AU128" s="287"/>
      <c r="AV128" s="289">
        <f>SUM(AU123)</f>
        <v>45645</v>
      </c>
    </row>
    <row r="129" spans="2:57" x14ac:dyDescent="0.3">
      <c r="B129" s="107" t="s">
        <v>54</v>
      </c>
      <c r="C129" s="377" t="s">
        <v>94</v>
      </c>
      <c r="D129" s="529"/>
      <c r="F129" s="161"/>
      <c r="G129" s="59"/>
      <c r="H129" s="59"/>
      <c r="I129" s="60"/>
      <c r="J129" s="61"/>
      <c r="K129" s="61"/>
      <c r="L129" s="11"/>
      <c r="M129" s="11"/>
      <c r="N129" s="63"/>
      <c r="O129" s="101"/>
      <c r="P129" s="131"/>
      <c r="Q129" s="136"/>
      <c r="R129" s="487"/>
      <c r="S129" s="131"/>
      <c r="T129" s="487"/>
      <c r="U129" s="16"/>
      <c r="V129" s="179"/>
      <c r="W129" s="11"/>
      <c r="X129" s="62"/>
      <c r="Y129" s="63"/>
      <c r="Z129" s="75"/>
      <c r="AA129" s="158"/>
      <c r="AB129" s="162"/>
      <c r="AC129" s="37"/>
      <c r="AD129" s="37"/>
      <c r="AE129" s="37"/>
      <c r="AF129" s="538"/>
      <c r="AH129" s="13"/>
      <c r="AI129" s="179"/>
      <c r="AJ129" s="11"/>
      <c r="AK129" s="62"/>
      <c r="AL129" s="63"/>
      <c r="AM129" s="75"/>
      <c r="AN129" s="162"/>
      <c r="AO129" s="58"/>
      <c r="AP129" s="58"/>
      <c r="AQ129" s="58"/>
      <c r="AR129" s="284" t="s">
        <v>55</v>
      </c>
      <c r="AS129" s="283"/>
      <c r="AT129" s="283"/>
      <c r="AU129" s="287"/>
      <c r="AV129" s="289">
        <f>SUM(AU125)</f>
        <v>46010</v>
      </c>
    </row>
    <row r="130" spans="2:57" x14ac:dyDescent="0.3">
      <c r="F130" s="186"/>
      <c r="G130" s="112"/>
      <c r="H130" s="112"/>
      <c r="I130" s="187"/>
      <c r="J130" s="86"/>
      <c r="K130" s="86"/>
      <c r="L130" s="6"/>
      <c r="M130" s="6"/>
      <c r="N130" s="84"/>
      <c r="O130" s="81"/>
      <c r="P130" s="83"/>
      <c r="Q130" s="189"/>
      <c r="R130" s="494"/>
      <c r="S130" s="83"/>
      <c r="T130" s="494"/>
      <c r="U130" s="81"/>
      <c r="V130" s="188"/>
      <c r="W130" s="6"/>
      <c r="X130" s="83"/>
      <c r="Y130" s="84"/>
      <c r="Z130" s="189"/>
      <c r="AA130" s="68"/>
      <c r="AB130" s="190"/>
      <c r="AC130" s="37"/>
      <c r="AD130" s="37"/>
      <c r="AE130" s="37"/>
      <c r="AF130" s="538"/>
      <c r="AH130" s="13"/>
      <c r="AI130" s="13"/>
      <c r="AJ130" s="12"/>
      <c r="AK130" s="12"/>
      <c r="AL130" s="12"/>
      <c r="AM130" s="12"/>
      <c r="AN130" s="202"/>
      <c r="AO130" s="58"/>
      <c r="AP130" s="58"/>
      <c r="AQ130" s="58"/>
      <c r="AR130" s="282" t="s">
        <v>56</v>
      </c>
      <c r="AS130" s="282"/>
      <c r="AT130" s="282"/>
      <c r="AU130" s="291"/>
      <c r="AV130" s="292">
        <v>45698</v>
      </c>
      <c r="BD130" s="1"/>
    </row>
    <row r="131" spans="2:57" x14ac:dyDescent="0.3">
      <c r="F131" s="186"/>
      <c r="G131" s="112"/>
      <c r="H131" s="112"/>
      <c r="I131" s="187"/>
      <c r="J131" s="86"/>
      <c r="K131" s="86"/>
      <c r="L131" s="6"/>
      <c r="M131" s="6"/>
      <c r="N131" s="84"/>
      <c r="O131" s="81"/>
      <c r="P131" s="83"/>
      <c r="Q131" s="189"/>
      <c r="R131" s="494"/>
      <c r="S131" s="83"/>
      <c r="T131" s="494"/>
      <c r="U131" s="81"/>
      <c r="V131" s="188"/>
      <c r="W131" s="6"/>
      <c r="X131" s="83"/>
      <c r="Y131" s="84"/>
      <c r="Z131" s="189"/>
      <c r="AA131" s="68"/>
      <c r="AB131" s="190"/>
      <c r="AC131" s="37"/>
      <c r="AD131" s="37"/>
      <c r="AE131" s="37"/>
      <c r="AF131" s="538"/>
      <c r="AH131" s="13"/>
      <c r="AI131" s="13"/>
      <c r="AJ131" s="12"/>
      <c r="AK131" s="12"/>
      <c r="AL131" s="12"/>
      <c r="AM131" s="12"/>
      <c r="AN131" s="202"/>
      <c r="AO131" s="58"/>
      <c r="AP131" s="58"/>
      <c r="AQ131" s="58"/>
      <c r="AR131" s="284" t="s">
        <v>57</v>
      </c>
      <c r="AS131" s="283"/>
      <c r="AT131" s="283"/>
      <c r="AU131" s="287"/>
      <c r="AV131" s="289">
        <f ca="1">SUM(AU124)</f>
        <v>45702</v>
      </c>
      <c r="BE131" s="383"/>
    </row>
    <row r="132" spans="2:57" x14ac:dyDescent="0.3">
      <c r="C132" s="528"/>
      <c r="D132" s="528"/>
      <c r="F132" s="186"/>
      <c r="G132" s="112"/>
      <c r="H132" s="112"/>
      <c r="I132" s="187"/>
      <c r="J132" s="86"/>
      <c r="K132" s="86"/>
      <c r="L132" s="6"/>
      <c r="M132" s="6"/>
      <c r="N132" s="84"/>
      <c r="O132" s="81"/>
      <c r="P132" s="83"/>
      <c r="Q132" s="189"/>
      <c r="R132" s="494"/>
      <c r="S132" s="83"/>
      <c r="T132" s="494"/>
      <c r="U132" s="81"/>
      <c r="V132" s="188"/>
      <c r="W132" s="6"/>
      <c r="X132" s="83"/>
      <c r="Y132" s="84"/>
      <c r="Z132" s="189"/>
      <c r="AA132" s="68"/>
      <c r="AB132" s="190"/>
      <c r="AC132" s="37"/>
      <c r="AD132" s="37"/>
      <c r="AE132" s="37"/>
      <c r="AF132" s="538"/>
      <c r="AH132" s="13"/>
      <c r="AI132" s="135"/>
      <c r="AJ132" s="135"/>
      <c r="AK132" s="277"/>
      <c r="AL132" s="77"/>
      <c r="AM132" s="17"/>
      <c r="AN132" s="141"/>
      <c r="AO132" s="58"/>
      <c r="AP132" s="58"/>
      <c r="AQ132" s="58"/>
      <c r="AR132" s="284" t="s">
        <v>58</v>
      </c>
      <c r="AS132" s="283"/>
      <c r="AT132" s="283"/>
      <c r="AU132" s="287"/>
      <c r="AV132" s="290" t="s">
        <v>59</v>
      </c>
      <c r="BC132" s="1"/>
      <c r="BE132" s="24"/>
    </row>
    <row r="133" spans="2:57" ht="15" thickBot="1" x14ac:dyDescent="0.35">
      <c r="B133" s="88" t="s">
        <v>110</v>
      </c>
      <c r="C133" s="79" t="e">
        <f>_xll.EPF.Yahoo.Price("F250117C00009820")</f>
        <v>#NUM!</v>
      </c>
      <c r="D133" s="79"/>
      <c r="E133" s="18" t="s">
        <v>107</v>
      </c>
      <c r="F133" s="275" t="s">
        <v>43</v>
      </c>
      <c r="G133" s="97" t="s">
        <v>62</v>
      </c>
      <c r="H133" s="97" t="s">
        <v>51</v>
      </c>
      <c r="I133" s="9">
        <v>9.82</v>
      </c>
      <c r="J133" s="10">
        <v>45674</v>
      </c>
      <c r="K133" s="10">
        <v>45645</v>
      </c>
      <c r="L133" s="8" t="s">
        <v>63</v>
      </c>
      <c r="M133" s="8">
        <v>40</v>
      </c>
      <c r="N133" s="30">
        <v>0.3533</v>
      </c>
      <c r="O133" s="102">
        <f>IF(L133="Buy",M133*N133*-1*100,M133*N133*100)</f>
        <v>1413.2</v>
      </c>
      <c r="P133" s="131"/>
      <c r="Q133" s="136"/>
      <c r="R133" s="487"/>
      <c r="S133" s="131"/>
      <c r="T133" s="487"/>
      <c r="U133" s="16"/>
      <c r="V133" s="444">
        <v>45672</v>
      </c>
      <c r="W133" s="127" t="str">
        <f>IF(L133="Buy","Sell","Buy")</f>
        <v>Buy</v>
      </c>
      <c r="X133" s="128">
        <f>SUM(M133)</f>
        <v>40</v>
      </c>
      <c r="Y133" s="394">
        <v>0.2</v>
      </c>
      <c r="Z133" s="105">
        <f t="shared" ref="Z133" si="45">IF(W133="Buy",X133*Y133*-1*100,X133*Y133*100)</f>
        <v>-800</v>
      </c>
      <c r="AA133" s="137">
        <f>IF(H133="Yes",O133*-1,0)</f>
        <v>0</v>
      </c>
      <c r="AB133" s="139">
        <f>SUM(O133,Z133)</f>
        <v>613.20000000000005</v>
      </c>
      <c r="AC133" s="37"/>
      <c r="AD133" s="37"/>
      <c r="AE133" s="37"/>
      <c r="AF133" s="538"/>
      <c r="AH133" s="16"/>
      <c r="AI133" s="127">
        <f>SUM(V133)</f>
        <v>45672</v>
      </c>
      <c r="AJ133" s="127" t="str">
        <f>IF(L133="Buy","Sell","Buy")</f>
        <v>Buy</v>
      </c>
      <c r="AK133" s="201">
        <f>SUM(M133)</f>
        <v>40</v>
      </c>
      <c r="AL133" s="394">
        <v>0.2</v>
      </c>
      <c r="AM133" s="106">
        <f>IF(AJ133="Buy",AK133*AL133*-1*100,AK133*AL133*100)</f>
        <v>-800</v>
      </c>
      <c r="AN133" s="139">
        <f>SUM(O133,AM133)</f>
        <v>613.20000000000005</v>
      </c>
      <c r="AO133" s="58"/>
      <c r="AP133" s="58"/>
      <c r="AQ133" s="58"/>
      <c r="AR133" s="284" t="s">
        <v>64</v>
      </c>
      <c r="AS133" s="283"/>
      <c r="AT133" s="283"/>
      <c r="AU133" s="287"/>
      <c r="AV133" s="294" cm="1">
        <f t="array" aca="1" ref="AV133" ca="1">NPendingEvents(AV128,AV129,AV130,AV131,AV132)</f>
        <v>3</v>
      </c>
      <c r="BC133" s="1"/>
      <c r="BE133" s="383"/>
    </row>
    <row r="134" spans="2:57" ht="15.6" thickTop="1" thickBot="1" x14ac:dyDescent="0.35">
      <c r="B134" s="88" t="s">
        <v>150</v>
      </c>
      <c r="C134" s="79">
        <f>_xll.EPF.Yahoo.Price("F250214C00010000")</f>
        <v>0.01</v>
      </c>
      <c r="D134" s="79"/>
      <c r="E134" s="18" t="s">
        <v>107</v>
      </c>
      <c r="F134" s="50" t="s">
        <v>43</v>
      </c>
      <c r="G134" s="49" t="s">
        <v>62</v>
      </c>
      <c r="H134" s="49" t="s">
        <v>51</v>
      </c>
      <c r="I134" s="43">
        <v>10</v>
      </c>
      <c r="J134" s="44">
        <v>45702</v>
      </c>
      <c r="K134" s="44">
        <v>45672</v>
      </c>
      <c r="L134" s="40" t="s">
        <v>63</v>
      </c>
      <c r="M134" s="40">
        <v>40</v>
      </c>
      <c r="N134" s="42">
        <v>0.43</v>
      </c>
      <c r="O134" s="100">
        <f>IF(L134="Buy",M134*N134*-1*100,M134*N134*100)</f>
        <v>1720</v>
      </c>
      <c r="P134" s="131"/>
      <c r="Q134" s="136"/>
      <c r="R134" s="487"/>
      <c r="S134" s="131"/>
      <c r="T134" s="487"/>
      <c r="U134" s="16"/>
      <c r="V134" s="211">
        <f ca="1">$C$4</f>
        <v>45702</v>
      </c>
      <c r="W134" s="125" t="str">
        <f>IF(L134="Buy","Sell","Buy")</f>
        <v>Buy</v>
      </c>
      <c r="X134" s="126">
        <f>SUM(M134)</f>
        <v>40</v>
      </c>
      <c r="Y134" s="197">
        <f>SUM(C134)</f>
        <v>0.01</v>
      </c>
      <c r="Z134" s="103">
        <f t="shared" ref="Z134" si="46">IF(W134="Buy",X134*Y134*-1*100,X134*Y134*100)</f>
        <v>-40</v>
      </c>
      <c r="AA134" s="137">
        <f>IF(H134="Yes",O134*-1,0)</f>
        <v>0</v>
      </c>
      <c r="AB134" s="138">
        <f>SUM(O134,Z134)</f>
        <v>1680</v>
      </c>
      <c r="AC134" s="37"/>
      <c r="AD134" s="37"/>
      <c r="AE134" s="37"/>
      <c r="AF134" s="538"/>
      <c r="AH134" s="13"/>
      <c r="AI134" s="125">
        <f>SUM(J134)</f>
        <v>45702</v>
      </c>
      <c r="AJ134" s="125" t="str">
        <f>IF(L134="Buy","Sell","Buy")</f>
        <v>Buy</v>
      </c>
      <c r="AK134" s="195">
        <f>SUM(M134)</f>
        <v>40</v>
      </c>
      <c r="AL134" s="197">
        <f>IF(I134-C123&gt;0,0,C123-I134)</f>
        <v>0</v>
      </c>
      <c r="AM134" s="104">
        <f>IF(AJ134="Buy",AK134*AL134*-1*100,AK134*AL134*100)</f>
        <v>0</v>
      </c>
      <c r="AN134" s="138">
        <f>SUM(O134,AM134)</f>
        <v>1720</v>
      </c>
      <c r="AO134" s="58"/>
      <c r="AP134" s="58"/>
      <c r="AQ134" s="58"/>
      <c r="AR134" s="282" t="s">
        <v>66</v>
      </c>
      <c r="AS134" s="282"/>
      <c r="AT134" s="282"/>
      <c r="AU134" s="288"/>
      <c r="AV134" s="293">
        <v>0.15</v>
      </c>
      <c r="BA134" t="s">
        <v>111</v>
      </c>
      <c r="BB134">
        <f ca="1">_xlfn.DAYS(AU124+1,BE131)</f>
        <v>45703</v>
      </c>
      <c r="BE134" s="24"/>
    </row>
    <row r="135" spans="2:57" ht="15" thickTop="1" x14ac:dyDescent="0.3">
      <c r="B135" s="7"/>
      <c r="C135" s="5"/>
      <c r="D135" s="5"/>
      <c r="F135" s="74"/>
      <c r="G135" s="72"/>
      <c r="H135" s="72"/>
      <c r="I135" s="14"/>
      <c r="J135" s="15"/>
      <c r="K135" s="15"/>
      <c r="L135" s="12"/>
      <c r="M135" s="12"/>
      <c r="N135" s="77"/>
      <c r="O135" s="134"/>
      <c r="P135" s="131"/>
      <c r="Q135" s="136"/>
      <c r="R135" s="487"/>
      <c r="S135" s="131"/>
      <c r="T135" s="487"/>
      <c r="U135" s="16"/>
      <c r="V135" s="191"/>
      <c r="W135" s="135"/>
      <c r="X135" s="131"/>
      <c r="Y135" s="130"/>
      <c r="Z135" s="136"/>
      <c r="AA135" s="137"/>
      <c r="AB135" s="141"/>
      <c r="AC135" s="37"/>
      <c r="AD135" s="37"/>
      <c r="AE135" s="37"/>
      <c r="AF135" s="538"/>
      <c r="AH135" s="13"/>
      <c r="AI135" s="13"/>
      <c r="AJ135" s="12"/>
      <c r="AK135" s="12"/>
      <c r="AL135" s="12"/>
      <c r="AM135" s="12"/>
      <c r="AN135" s="202"/>
      <c r="AO135" s="58"/>
      <c r="AP135" s="58"/>
      <c r="AQ135" s="58"/>
      <c r="AR135" s="284" t="s">
        <v>68</v>
      </c>
      <c r="AS135" s="283"/>
      <c r="AT135" s="283"/>
      <c r="AU135" s="287"/>
      <c r="AV135" s="294">
        <f>SUM(M123)</f>
        <v>4000</v>
      </c>
      <c r="BE135" s="383"/>
    </row>
    <row r="136" spans="2:57" x14ac:dyDescent="0.3">
      <c r="F136" s="186"/>
      <c r="G136" s="112"/>
      <c r="H136" s="112"/>
      <c r="I136" s="187"/>
      <c r="J136" s="86"/>
      <c r="K136" s="86"/>
      <c r="L136" s="6"/>
      <c r="M136" s="6"/>
      <c r="N136" s="84"/>
      <c r="O136" s="81"/>
      <c r="P136" s="83"/>
      <c r="Q136" s="189"/>
      <c r="R136" s="494"/>
      <c r="S136" s="83"/>
      <c r="T136" s="494"/>
      <c r="U136" s="81"/>
      <c r="V136" s="188"/>
      <c r="W136" s="6"/>
      <c r="X136" s="83"/>
      <c r="Y136" s="84"/>
      <c r="Z136" s="189"/>
      <c r="AA136" s="68"/>
      <c r="AB136" s="190"/>
      <c r="AC136" s="37"/>
      <c r="AD136" s="37"/>
      <c r="AE136" s="37"/>
      <c r="AF136" s="538"/>
      <c r="AH136" s="13"/>
      <c r="AI136" s="13"/>
      <c r="AJ136" s="12"/>
      <c r="AK136" s="12"/>
      <c r="AL136" s="12"/>
      <c r="AM136" s="12"/>
      <c r="AN136" s="202"/>
      <c r="AO136" s="58"/>
      <c r="AP136" s="58"/>
      <c r="AQ136" s="58"/>
      <c r="AR136" s="284" t="s">
        <v>70</v>
      </c>
      <c r="AS136" s="283"/>
      <c r="AT136" s="283"/>
      <c r="AU136" s="287"/>
      <c r="AV136" s="296">
        <f>PRODUCT(AV134,AV135)</f>
        <v>600</v>
      </c>
      <c r="BE136" s="24"/>
    </row>
    <row r="137" spans="2:57" x14ac:dyDescent="0.3">
      <c r="F137" s="186"/>
      <c r="G137" s="112"/>
      <c r="H137" s="112"/>
      <c r="I137" s="187"/>
      <c r="J137" s="86"/>
      <c r="K137" s="332"/>
      <c r="L137" s="6"/>
      <c r="M137" s="6"/>
      <c r="N137" s="84"/>
      <c r="O137" s="81"/>
      <c r="P137" s="83"/>
      <c r="Q137" s="189"/>
      <c r="R137" s="494"/>
      <c r="S137" s="83"/>
      <c r="T137" s="494"/>
      <c r="U137" s="81"/>
      <c r="V137" s="188"/>
      <c r="W137" s="6"/>
      <c r="X137" s="83"/>
      <c r="Y137" s="84"/>
      <c r="Z137" s="189"/>
      <c r="AA137" s="68"/>
      <c r="AB137" s="190"/>
      <c r="AC137" s="37"/>
      <c r="AD137" s="37"/>
      <c r="AE137" s="37"/>
      <c r="AF137" s="538"/>
      <c r="AH137" s="13"/>
      <c r="AI137" s="13"/>
      <c r="AJ137" s="12"/>
      <c r="AK137" s="12"/>
      <c r="AL137" s="12"/>
      <c r="AM137" s="12"/>
      <c r="AN137" s="202"/>
      <c r="AO137" s="58"/>
      <c r="AP137" s="58"/>
      <c r="AQ137" s="58"/>
      <c r="AR137" s="284" t="s">
        <v>72</v>
      </c>
      <c r="AS137" s="283"/>
      <c r="AT137" s="283"/>
      <c r="AU137" s="287"/>
      <c r="AV137" s="296">
        <f ca="1">PRODUCT(AV136,AV133)</f>
        <v>1800</v>
      </c>
      <c r="BE137" s="383"/>
    </row>
    <row r="138" spans="2:57" x14ac:dyDescent="0.3">
      <c r="F138" s="186"/>
      <c r="G138" s="112"/>
      <c r="H138" s="112"/>
      <c r="I138" s="187"/>
      <c r="J138" s="86"/>
      <c r="K138" s="86"/>
      <c r="L138" s="6"/>
      <c r="M138" s="6"/>
      <c r="N138" s="84"/>
      <c r="O138" s="81"/>
      <c r="P138" s="83"/>
      <c r="Q138" s="189"/>
      <c r="R138" s="494"/>
      <c r="S138" s="83"/>
      <c r="T138" s="494"/>
      <c r="U138" s="81"/>
      <c r="V138" s="188"/>
      <c r="W138" s="6"/>
      <c r="X138" s="83"/>
      <c r="Y138" s="84"/>
      <c r="Z138" s="189"/>
      <c r="AA138" s="68"/>
      <c r="AB138" s="190"/>
      <c r="AC138" s="37"/>
      <c r="AD138" s="37"/>
      <c r="AE138" s="37"/>
      <c r="AF138" s="538"/>
      <c r="AH138" s="13"/>
      <c r="AI138" s="13"/>
      <c r="AJ138" s="12"/>
      <c r="AK138" s="12"/>
      <c r="AL138" s="12"/>
      <c r="AM138" s="12"/>
      <c r="AN138" s="202"/>
      <c r="AO138" s="58"/>
      <c r="AP138" s="58"/>
      <c r="AQ138" s="58"/>
    </row>
    <row r="139" spans="2:57" x14ac:dyDescent="0.3">
      <c r="F139" s="186"/>
      <c r="G139" s="766"/>
      <c r="H139" s="760"/>
      <c r="I139" s="761"/>
      <c r="J139" s="762" t="s">
        <v>249</v>
      </c>
      <c r="K139" s="762"/>
      <c r="L139" s="763"/>
      <c r="M139" s="767"/>
      <c r="N139" s="84"/>
      <c r="O139" s="81"/>
      <c r="P139" s="83"/>
      <c r="Q139" s="189"/>
      <c r="R139" s="494"/>
      <c r="S139" s="83"/>
      <c r="T139" s="494"/>
      <c r="U139" s="81"/>
      <c r="V139" s="188"/>
      <c r="W139" s="6"/>
      <c r="X139" s="83"/>
      <c r="Y139" s="84"/>
      <c r="Z139" s="189"/>
      <c r="AA139" s="68"/>
      <c r="AB139" s="190"/>
      <c r="AC139" s="37"/>
      <c r="AD139" s="37"/>
      <c r="AE139" s="37"/>
      <c r="AF139" s="538"/>
      <c r="AH139" s="13"/>
      <c r="AI139" s="13"/>
      <c r="AJ139" s="12"/>
      <c r="AK139" s="12"/>
      <c r="AL139" s="12"/>
      <c r="AM139" s="12"/>
      <c r="AN139" s="202"/>
      <c r="AO139" s="58"/>
      <c r="AP139" s="58"/>
      <c r="AQ139" s="58"/>
      <c r="AR139" s="298" t="s">
        <v>73</v>
      </c>
      <c r="AS139" s="284"/>
      <c r="AT139" s="284"/>
      <c r="AU139" s="302"/>
      <c r="AV139" s="295"/>
    </row>
    <row r="140" spans="2:57" x14ac:dyDescent="0.3">
      <c r="F140" s="186"/>
      <c r="G140" s="766"/>
      <c r="H140" s="760"/>
      <c r="I140" s="761"/>
      <c r="J140" s="762" t="s">
        <v>250</v>
      </c>
      <c r="K140" s="762"/>
      <c r="L140" s="763"/>
      <c r="M140" s="767"/>
      <c r="N140" s="84"/>
      <c r="O140" s="81"/>
      <c r="P140" s="83"/>
      <c r="Q140" s="189"/>
      <c r="R140" s="494"/>
      <c r="S140" s="83"/>
      <c r="T140" s="494"/>
      <c r="U140" s="81"/>
      <c r="V140" s="188"/>
      <c r="W140" s="6"/>
      <c r="X140" s="83"/>
      <c r="Y140" s="84"/>
      <c r="Z140" s="189"/>
      <c r="AA140" s="68"/>
      <c r="AB140" s="190"/>
      <c r="AC140" s="37"/>
      <c r="AD140" s="37"/>
      <c r="AE140" s="37"/>
      <c r="AF140" s="538"/>
      <c r="AH140" s="13"/>
      <c r="AI140" s="13"/>
      <c r="AJ140" s="12"/>
      <c r="AK140" s="12"/>
      <c r="AL140" s="12"/>
      <c r="AM140" s="12"/>
      <c r="AN140" s="202"/>
      <c r="AO140" s="58"/>
      <c r="AP140" s="58"/>
      <c r="AQ140" s="58"/>
      <c r="AR140" s="284" t="s">
        <v>53</v>
      </c>
      <c r="AS140" s="284"/>
      <c r="AT140" s="284"/>
      <c r="AU140" s="302"/>
      <c r="AV140" s="289">
        <f>SUM(AU123)</f>
        <v>45645</v>
      </c>
    </row>
    <row r="141" spans="2:57" x14ac:dyDescent="0.3">
      <c r="F141" s="186"/>
      <c r="G141" s="112"/>
      <c r="H141" s="112"/>
      <c r="I141" s="187"/>
      <c r="J141" s="86"/>
      <c r="K141" s="86"/>
      <c r="L141" s="6"/>
      <c r="M141" s="6"/>
      <c r="N141" s="84"/>
      <c r="O141" s="81"/>
      <c r="P141" s="83"/>
      <c r="Q141" s="189"/>
      <c r="R141" s="494"/>
      <c r="S141" s="83"/>
      <c r="T141" s="494"/>
      <c r="U141" s="81"/>
      <c r="V141" s="188"/>
      <c r="W141" s="6"/>
      <c r="X141" s="83"/>
      <c r="Y141" s="84"/>
      <c r="Z141" s="189"/>
      <c r="AA141" s="68"/>
      <c r="AB141" s="190"/>
      <c r="AC141" s="37"/>
      <c r="AD141" s="37"/>
      <c r="AE141" s="37"/>
      <c r="AF141" s="538"/>
      <c r="AH141" s="13"/>
      <c r="AI141" s="13"/>
      <c r="AJ141" s="12"/>
      <c r="AK141" s="12"/>
      <c r="AL141" s="12"/>
      <c r="AM141" s="12"/>
      <c r="AN141" s="202"/>
      <c r="AO141" s="58"/>
      <c r="AP141" s="58"/>
      <c r="AQ141" s="58"/>
      <c r="AR141" s="284" t="s">
        <v>55</v>
      </c>
      <c r="AS141" s="284"/>
      <c r="AT141" s="284"/>
      <c r="AU141" s="302"/>
      <c r="AV141" s="289">
        <f>SUM(AU125)</f>
        <v>46010</v>
      </c>
    </row>
    <row r="142" spans="2:57" x14ac:dyDescent="0.3">
      <c r="F142" s="186"/>
      <c r="G142" s="112"/>
      <c r="H142" s="112"/>
      <c r="I142" s="187"/>
      <c r="J142" s="86"/>
      <c r="K142" s="86"/>
      <c r="L142" s="6"/>
      <c r="M142" s="6"/>
      <c r="N142" s="84"/>
      <c r="O142" s="81"/>
      <c r="P142" s="83"/>
      <c r="Q142" s="189"/>
      <c r="R142" s="494"/>
      <c r="S142" s="83"/>
      <c r="T142" s="494"/>
      <c r="U142" s="81"/>
      <c r="V142" s="188"/>
      <c r="W142" s="6"/>
      <c r="X142" s="83"/>
      <c r="Y142" s="84"/>
      <c r="Z142" s="189"/>
      <c r="AA142" s="68"/>
      <c r="AB142" s="190"/>
      <c r="AC142" s="37"/>
      <c r="AD142" s="37"/>
      <c r="AE142" s="37"/>
      <c r="AF142" s="538"/>
      <c r="AH142" s="13"/>
      <c r="AI142" s="13"/>
      <c r="AJ142" s="12"/>
      <c r="AK142" s="12"/>
      <c r="AL142" s="12"/>
      <c r="AM142" s="12"/>
      <c r="AN142" s="202"/>
      <c r="AO142" s="58"/>
      <c r="AP142" s="58"/>
      <c r="AQ142" s="58"/>
      <c r="AR142" s="282" t="s">
        <v>74</v>
      </c>
      <c r="AS142" s="282"/>
      <c r="AT142" s="282"/>
      <c r="AU142" s="288"/>
      <c r="AV142" s="303">
        <v>45674</v>
      </c>
    </row>
    <row r="143" spans="2:57" x14ac:dyDescent="0.3">
      <c r="F143" s="186"/>
      <c r="G143" s="112"/>
      <c r="H143" s="112"/>
      <c r="I143" s="187"/>
      <c r="J143" s="86"/>
      <c r="K143" s="86"/>
      <c r="L143" s="6"/>
      <c r="M143" s="6"/>
      <c r="N143" s="84"/>
      <c r="O143" s="81"/>
      <c r="P143" s="83"/>
      <c r="Q143" s="189"/>
      <c r="R143" s="494"/>
      <c r="S143" s="83"/>
      <c r="T143" s="494"/>
      <c r="U143" s="81"/>
      <c r="V143" s="188"/>
      <c r="W143" s="6"/>
      <c r="X143" s="83"/>
      <c r="Y143" s="84"/>
      <c r="Z143" s="189"/>
      <c r="AA143" s="68"/>
      <c r="AB143" s="190"/>
      <c r="AC143" s="37"/>
      <c r="AD143" s="37"/>
      <c r="AE143" s="37"/>
      <c r="AF143" s="538"/>
      <c r="AH143" s="13"/>
      <c r="AI143" s="13"/>
      <c r="AJ143" s="12"/>
      <c r="AK143" s="12"/>
      <c r="AL143" s="12"/>
      <c r="AM143" s="12"/>
      <c r="AN143" s="202"/>
      <c r="AO143" s="58"/>
      <c r="AP143" s="58"/>
      <c r="AQ143" s="58"/>
      <c r="AR143" s="284" t="s">
        <v>57</v>
      </c>
      <c r="AS143" s="283"/>
      <c r="AT143" s="283"/>
      <c r="AU143" s="287"/>
      <c r="AV143" s="289">
        <f ca="1">SUM(AU124)</f>
        <v>45702</v>
      </c>
    </row>
    <row r="144" spans="2:57" x14ac:dyDescent="0.3">
      <c r="F144" s="186"/>
      <c r="G144" s="112"/>
      <c r="H144" s="112"/>
      <c r="I144" s="187"/>
      <c r="J144" s="86"/>
      <c r="K144" s="86"/>
      <c r="L144" s="6"/>
      <c r="M144" s="6"/>
      <c r="N144" s="84"/>
      <c r="O144" s="81"/>
      <c r="P144" s="83"/>
      <c r="Q144" s="189"/>
      <c r="R144" s="494"/>
      <c r="S144" s="83"/>
      <c r="T144" s="494"/>
      <c r="U144" s="81"/>
      <c r="V144" s="188"/>
      <c r="W144" s="6"/>
      <c r="X144" s="83"/>
      <c r="Y144" s="84"/>
      <c r="Z144" s="189"/>
      <c r="AA144" s="68"/>
      <c r="AB144" s="190"/>
      <c r="AC144" s="37"/>
      <c r="AD144" s="37"/>
      <c r="AE144" s="37"/>
      <c r="AF144" s="538"/>
      <c r="AH144" s="13"/>
      <c r="AI144" s="13"/>
      <c r="AJ144" s="12"/>
      <c r="AK144" s="12"/>
      <c r="AL144" s="12"/>
      <c r="AM144" s="12"/>
      <c r="AN144" s="202"/>
      <c r="AO144" s="58"/>
      <c r="AP144" s="58"/>
      <c r="AQ144" s="58"/>
      <c r="AR144" s="284" t="s">
        <v>58</v>
      </c>
      <c r="AS144" s="283"/>
      <c r="AT144" s="283"/>
      <c r="AU144" s="287"/>
      <c r="AV144" s="290" t="s">
        <v>75</v>
      </c>
    </row>
    <row r="145" spans="2:56" x14ac:dyDescent="0.3">
      <c r="F145" s="186"/>
      <c r="G145" s="112"/>
      <c r="H145" s="112"/>
      <c r="I145" s="187"/>
      <c r="J145" s="86"/>
      <c r="K145" s="86"/>
      <c r="L145" s="6"/>
      <c r="M145" s="6"/>
      <c r="N145" s="84"/>
      <c r="O145" s="81"/>
      <c r="P145" s="83"/>
      <c r="Q145" s="189"/>
      <c r="R145" s="494"/>
      <c r="S145" s="83"/>
      <c r="T145" s="494"/>
      <c r="U145" s="81"/>
      <c r="V145" s="188"/>
      <c r="W145" s="6"/>
      <c r="X145" s="83"/>
      <c r="Y145" s="84"/>
      <c r="Z145" s="189"/>
      <c r="AA145" s="68"/>
      <c r="AB145" s="190"/>
      <c r="AC145" s="37"/>
      <c r="AD145" s="37"/>
      <c r="AE145" s="37"/>
      <c r="AF145" s="538"/>
      <c r="AH145" s="13"/>
      <c r="AI145" s="13"/>
      <c r="AJ145" s="12"/>
      <c r="AK145" s="12"/>
      <c r="AL145" s="12"/>
      <c r="AM145" s="12"/>
      <c r="AN145" s="202"/>
      <c r="AO145" s="58"/>
      <c r="AP145" s="58"/>
      <c r="AQ145" s="58"/>
      <c r="AR145" s="284" t="s">
        <v>76</v>
      </c>
      <c r="AS145" s="283"/>
      <c r="AT145" s="283"/>
      <c r="AU145" s="287"/>
      <c r="AV145" s="294" cm="1">
        <f t="array" aca="1" ref="AV145" ca="1">NPendingEvents(AV140,AV141,AV142,AV143,AV144)</f>
        <v>11</v>
      </c>
    </row>
    <row r="146" spans="2:56" x14ac:dyDescent="0.3">
      <c r="F146" s="186"/>
      <c r="G146" s="112"/>
      <c r="H146" s="112"/>
      <c r="I146" s="187"/>
      <c r="J146" s="86"/>
      <c r="K146" s="86"/>
      <c r="L146" s="6"/>
      <c r="M146" s="6"/>
      <c r="N146" s="84"/>
      <c r="O146" s="81"/>
      <c r="P146" s="83"/>
      <c r="Q146" s="189"/>
      <c r="R146" s="494"/>
      <c r="S146" s="83"/>
      <c r="T146" s="494"/>
      <c r="U146" s="81"/>
      <c r="V146" s="188"/>
      <c r="W146" s="6"/>
      <c r="X146" s="83"/>
      <c r="Y146" s="84"/>
      <c r="Z146" s="189"/>
      <c r="AA146" s="68"/>
      <c r="AB146" s="190"/>
      <c r="AC146" s="37"/>
      <c r="AD146" s="37"/>
      <c r="AE146" s="37"/>
      <c r="AF146" s="538"/>
      <c r="AH146" s="13"/>
      <c r="AI146" s="13"/>
      <c r="AJ146" s="554"/>
      <c r="AK146" s="554"/>
      <c r="AL146" s="278"/>
      <c r="AM146" s="689" t="s">
        <v>226</v>
      </c>
      <c r="AN146" s="701">
        <v>450</v>
      </c>
      <c r="AO146" s="58"/>
      <c r="AP146" s="58"/>
      <c r="AQ146" s="58"/>
      <c r="AR146" s="282" t="s">
        <v>77</v>
      </c>
      <c r="AS146" s="282"/>
      <c r="AT146" s="282"/>
      <c r="AU146" s="288"/>
      <c r="AV146" s="65">
        <v>0.35</v>
      </c>
    </row>
    <row r="147" spans="2:56" x14ac:dyDescent="0.3">
      <c r="F147" s="186"/>
      <c r="G147" s="112"/>
      <c r="H147" s="112"/>
      <c r="I147" s="187"/>
      <c r="J147" s="86"/>
      <c r="K147" s="86"/>
      <c r="L147" s="6"/>
      <c r="M147" s="6"/>
      <c r="N147" s="84"/>
      <c r="O147" s="81"/>
      <c r="P147" s="83"/>
      <c r="Q147" s="189"/>
      <c r="R147" s="494"/>
      <c r="S147" s="83"/>
      <c r="T147" s="494"/>
      <c r="U147" s="81"/>
      <c r="V147" s="188"/>
      <c r="W147" s="6"/>
      <c r="X147" s="83"/>
      <c r="Y147" s="84"/>
      <c r="Z147" s="189"/>
      <c r="AA147" s="68"/>
      <c r="AB147" s="190"/>
      <c r="AC147" s="37"/>
      <c r="AD147" s="37"/>
      <c r="AE147" s="37"/>
      <c r="AF147" s="538"/>
      <c r="AH147" s="13"/>
      <c r="AI147" s="13"/>
      <c r="AJ147" s="12"/>
      <c r="AK147" s="12"/>
      <c r="AL147" s="194"/>
      <c r="AM147" s="194" t="s">
        <v>78</v>
      </c>
      <c r="AN147" s="285">
        <f ca="1">SUM(AV137)</f>
        <v>1800</v>
      </c>
      <c r="AO147" s="58"/>
      <c r="AP147" s="58"/>
      <c r="AQ147" s="58"/>
      <c r="AR147" s="284" t="s">
        <v>68</v>
      </c>
      <c r="AS147" s="283"/>
      <c r="AT147" s="283"/>
      <c r="AU147" s="287"/>
      <c r="AV147" s="294">
        <f>SUM(M123)</f>
        <v>4000</v>
      </c>
    </row>
    <row r="148" spans="2:56" ht="15" thickBot="1" x14ac:dyDescent="0.35">
      <c r="F148" s="31"/>
      <c r="G148" s="32"/>
      <c r="H148" s="32"/>
      <c r="I148" s="28"/>
      <c r="J148" s="28"/>
      <c r="K148" s="28"/>
      <c r="L148" s="28"/>
      <c r="M148" s="28"/>
      <c r="N148" s="28"/>
      <c r="O148" s="33"/>
      <c r="P148" s="475"/>
      <c r="Q148" s="507"/>
      <c r="R148" s="495"/>
      <c r="S148" s="475"/>
      <c r="T148" s="495"/>
      <c r="U148" s="33"/>
      <c r="V148" s="28"/>
      <c r="W148" s="28"/>
      <c r="X148" s="34"/>
      <c r="Y148" s="28"/>
      <c r="Z148" s="28"/>
      <c r="AA148" s="28"/>
      <c r="AB148" s="35"/>
      <c r="AC148"/>
      <c r="AD148"/>
      <c r="AE148"/>
      <c r="AF148" s="538"/>
      <c r="AH148" s="205"/>
      <c r="AI148" s="205"/>
      <c r="AJ148" s="145"/>
      <c r="AK148" s="145"/>
      <c r="AL148" s="374"/>
      <c r="AM148" s="374" t="s">
        <v>79</v>
      </c>
      <c r="AN148" s="285">
        <f ca="1">PRODUCT(AV149)</f>
        <v>15400</v>
      </c>
      <c r="AR148" s="284" t="s">
        <v>80</v>
      </c>
      <c r="AS148" s="283"/>
      <c r="AT148" s="283"/>
      <c r="AU148" s="287"/>
      <c r="AV148" s="296">
        <f>PRODUCT(AV146,AV147)</f>
        <v>1400</v>
      </c>
    </row>
    <row r="149" spans="2:56" x14ac:dyDescent="0.3">
      <c r="F149" s="21"/>
      <c r="G149" s="21"/>
      <c r="H149" s="21"/>
      <c r="K149" s="1"/>
      <c r="L149" s="1"/>
      <c r="M149" s="1"/>
      <c r="N149" s="1"/>
      <c r="O149" s="4"/>
      <c r="U149" s="4"/>
      <c r="V149" s="1"/>
      <c r="W149" s="1"/>
      <c r="X149" s="113"/>
      <c r="Y149" s="113"/>
      <c r="Z149" s="114" t="s">
        <v>81</v>
      </c>
      <c r="AA149" s="103">
        <f>SUM(AA123:AA135)</f>
        <v>44867.199999999997</v>
      </c>
      <c r="AB149" s="76"/>
      <c r="AC149" s="198">
        <f>SUM(AA149)</f>
        <v>44867.199999999997</v>
      </c>
      <c r="AE149"/>
      <c r="AF149" s="538"/>
      <c r="AH149" s="67"/>
      <c r="AI149" s="242"/>
      <c r="AJ149" s="242"/>
      <c r="AK149" s="235"/>
      <c r="AL149" s="235"/>
      <c r="AM149" s="236" t="s">
        <v>81</v>
      </c>
      <c r="AN149" s="241">
        <f>SUM(AA123:AA146)</f>
        <v>44867.199999999997</v>
      </c>
      <c r="AR149" s="284" t="s">
        <v>82</v>
      </c>
      <c r="AS149" s="283"/>
      <c r="AT149" s="283"/>
      <c r="AU149" s="287"/>
      <c r="AV149" s="296">
        <f ca="1">PRODUCT(AV145,AV148)</f>
        <v>15400</v>
      </c>
      <c r="AW149" s="300"/>
    </row>
    <row r="150" spans="2:56" x14ac:dyDescent="0.3">
      <c r="F150" s="21"/>
      <c r="G150" s="21"/>
      <c r="H150" s="21"/>
      <c r="I150" s="417" t="s">
        <v>83</v>
      </c>
      <c r="J150" s="418" t="s">
        <v>46</v>
      </c>
      <c r="K150" s="1"/>
      <c r="L150" s="78"/>
      <c r="M150" s="78"/>
      <c r="N150" s="1"/>
      <c r="O150" s="4"/>
      <c r="U150" s="4"/>
      <c r="V150" s="1"/>
      <c r="W150" s="1"/>
      <c r="X150" s="115" t="s">
        <v>84</v>
      </c>
      <c r="Y150" s="113"/>
      <c r="Z150" s="114"/>
      <c r="AA150" s="12"/>
      <c r="AB150" s="142">
        <f>SUM(AB123:AB148)</f>
        <v>966.00000000000205</v>
      </c>
      <c r="AD150" s="198">
        <f>SUM(AB150)</f>
        <v>966.00000000000205</v>
      </c>
      <c r="AE150" s="354"/>
      <c r="AF150" s="537"/>
      <c r="AH150" s="2"/>
      <c r="AI150" s="5"/>
      <c r="AJ150" s="5"/>
      <c r="AK150" s="36"/>
      <c r="AL150" s="36"/>
      <c r="AM150" s="114" t="s">
        <v>84</v>
      </c>
      <c r="AN150" s="142">
        <f ca="1">SUM(AN122:AN148)</f>
        <v>14396.000000000004</v>
      </c>
      <c r="AO150" s="2"/>
      <c r="AP150" s="142">
        <f ca="1">AN150</f>
        <v>14396.000000000004</v>
      </c>
      <c r="AQ150" s="2"/>
      <c r="AW150" s="24"/>
    </row>
    <row r="151" spans="2:56" x14ac:dyDescent="0.3">
      <c r="F151" s="21"/>
      <c r="G151" s="21"/>
      <c r="H151" s="21"/>
      <c r="I151" s="18"/>
      <c r="J151" s="18"/>
      <c r="K151" s="1"/>
      <c r="L151" s="78"/>
      <c r="M151" s="78"/>
      <c r="N151" s="1"/>
      <c r="O151" s="4"/>
      <c r="U151" s="4"/>
      <c r="V151" s="1"/>
      <c r="W151" s="1"/>
      <c r="X151" s="115" t="s">
        <v>85</v>
      </c>
      <c r="Y151" s="115"/>
      <c r="Z151" s="115"/>
      <c r="AA151" s="12"/>
      <c r="AB151" s="143">
        <f ca="1">_xlfn.DAYS(AB120,AB119)</f>
        <v>57</v>
      </c>
      <c r="AC151" s="37"/>
      <c r="AD151" s="37"/>
      <c r="AE151" s="37"/>
      <c r="AF151" s="538"/>
      <c r="AH151" s="2"/>
      <c r="AI151" s="5"/>
      <c r="AJ151" s="5"/>
      <c r="AK151" s="36"/>
      <c r="AL151" s="36"/>
      <c r="AM151" s="114" t="s">
        <v>86</v>
      </c>
      <c r="AN151" s="143">
        <f>_xlfn.DAYS(AN120,AN119)</f>
        <v>365</v>
      </c>
    </row>
    <row r="152" spans="2:56" ht="15" thickBot="1" x14ac:dyDescent="0.35">
      <c r="F152" s="21"/>
      <c r="G152" s="21"/>
      <c r="H152" s="21"/>
      <c r="K152" s="1"/>
      <c r="L152" s="78"/>
      <c r="M152" s="78"/>
      <c r="N152" s="1"/>
      <c r="O152" s="4"/>
      <c r="U152" s="4"/>
      <c r="V152" s="1"/>
      <c r="W152" s="1"/>
      <c r="X152" s="115" t="s">
        <v>87</v>
      </c>
      <c r="Y152" s="113"/>
      <c r="Z152" s="114"/>
      <c r="AA152" s="113"/>
      <c r="AB152" s="149">
        <f>PRODUCT(AB150,100,1/AA149)</f>
        <v>2.1530204692960604</v>
      </c>
      <c r="AC152" s="71"/>
      <c r="AD152" s="71"/>
      <c r="AE152" s="71"/>
      <c r="AF152" s="539"/>
      <c r="AH152" s="414"/>
      <c r="AI152" s="70"/>
      <c r="AJ152" s="70"/>
      <c r="AK152" s="36"/>
      <c r="AL152" s="36"/>
      <c r="AM152" s="114" t="s">
        <v>88</v>
      </c>
      <c r="AN152" s="149">
        <f ca="1">PRODUCT(AN150,100,1/AN149)</f>
        <v>32.085799871621148</v>
      </c>
    </row>
    <row r="153" spans="2:56" ht="37.799999999999997" thickTop="1" thickBot="1" x14ac:dyDescent="0.35">
      <c r="F153" s="21"/>
      <c r="G153" s="21"/>
      <c r="H153" s="21"/>
      <c r="K153" s="1"/>
      <c r="L153" s="78"/>
      <c r="M153" s="78"/>
      <c r="N153" s="1"/>
      <c r="O153" s="4"/>
      <c r="U153" s="4"/>
      <c r="V153" s="1"/>
      <c r="W153" s="1"/>
      <c r="X153" s="150" t="s">
        <v>89</v>
      </c>
      <c r="Y153" s="147"/>
      <c r="Z153" s="147"/>
      <c r="AA153" s="148"/>
      <c r="AB153" s="151">
        <f ca="1">PRODUCT(AB152,365,1/AB151)</f>
        <v>13.786885461281789</v>
      </c>
      <c r="AC153"/>
      <c r="AD153"/>
      <c r="AE153"/>
      <c r="AF153" s="538"/>
      <c r="AH153" s="2"/>
      <c r="AI153" s="5"/>
      <c r="AJ153" s="5"/>
      <c r="AK153" s="147"/>
      <c r="AL153" s="147"/>
      <c r="AM153" s="267" t="s">
        <v>90</v>
      </c>
      <c r="AN153" s="373">
        <f ca="1">PRODUCT(AN152,365,1/AN151)</f>
        <v>32.085799871621148</v>
      </c>
    </row>
    <row r="154" spans="2:56" ht="15" thickTop="1" x14ac:dyDescent="0.3">
      <c r="F154" s="223"/>
      <c r="G154" s="22"/>
      <c r="H154" s="22"/>
    </row>
    <row r="155" spans="2:56" x14ac:dyDescent="0.3">
      <c r="F155" s="223"/>
      <c r="G155" s="22"/>
      <c r="H155" s="22"/>
    </row>
    <row r="156" spans="2:56" ht="15" thickBot="1" x14ac:dyDescent="0.35">
      <c r="F156" s="223"/>
      <c r="G156" s="22"/>
      <c r="H156" s="22"/>
    </row>
    <row r="157" spans="2:56" ht="15" customHeight="1" thickTop="1" x14ac:dyDescent="0.3">
      <c r="F157" s="45" t="s">
        <v>112</v>
      </c>
      <c r="G157" s="25"/>
      <c r="H157" s="25" t="s">
        <v>113</v>
      </c>
      <c r="I157" s="896" t="s">
        <v>114</v>
      </c>
      <c r="J157" s="814"/>
      <c r="K157" s="814"/>
      <c r="L157" s="897"/>
      <c r="M157" s="164"/>
      <c r="N157" s="165"/>
      <c r="O157" s="166" t="s">
        <v>3</v>
      </c>
      <c r="P157" s="471"/>
      <c r="Q157" s="502"/>
      <c r="R157" s="489"/>
      <c r="S157" s="471"/>
      <c r="T157" s="489"/>
      <c r="U157" s="167"/>
      <c r="V157" s="168"/>
      <c r="W157" s="93"/>
      <c r="X157" s="892" t="s">
        <v>4</v>
      </c>
      <c r="Y157" s="893"/>
      <c r="Z157" s="323"/>
      <c r="AA157" s="324" t="s">
        <v>5</v>
      </c>
      <c r="AB157" s="325">
        <f>K161</f>
        <v>45653</v>
      </c>
      <c r="AH157" s="167"/>
      <c r="AI157" s="168"/>
      <c r="AJ157" s="93"/>
      <c r="AK157" s="892" t="s">
        <v>4</v>
      </c>
      <c r="AL157" s="893"/>
      <c r="AM157" s="326"/>
      <c r="AN157" s="256">
        <f>SUM(K162)</f>
        <v>45653</v>
      </c>
      <c r="AO157" s="403"/>
      <c r="AP157" s="403"/>
      <c r="AQ157" s="403"/>
      <c r="AV157" s="403"/>
      <c r="AW157" s="403"/>
      <c r="AX157" s="403"/>
      <c r="AY157" s="403"/>
      <c r="AZ157" s="403"/>
      <c r="BA157" s="403"/>
    </row>
    <row r="158" spans="2:56" ht="15" customHeight="1" thickBot="1" x14ac:dyDescent="0.35">
      <c r="F158" s="56" t="s">
        <v>115</v>
      </c>
      <c r="G158" s="27" t="s">
        <v>116</v>
      </c>
      <c r="H158" s="27"/>
      <c r="I158" s="898"/>
      <c r="J158" s="899"/>
      <c r="K158" s="899"/>
      <c r="L158" s="900"/>
      <c r="M158" s="115"/>
      <c r="N158" s="171"/>
      <c r="O158" s="172" t="s">
        <v>6</v>
      </c>
      <c r="P158" s="472"/>
      <c r="Q158" s="503"/>
      <c r="R158" s="490"/>
      <c r="S158" s="472"/>
      <c r="T158" s="490"/>
      <c r="U158" s="173"/>
      <c r="V158" s="174"/>
      <c r="W158" s="175"/>
      <c r="X158" s="894"/>
      <c r="Y158" s="895"/>
      <c r="Z158" s="209"/>
      <c r="AA158" s="210" t="s">
        <v>7</v>
      </c>
      <c r="AB158" s="211">
        <f ca="1">$C$4</f>
        <v>45702</v>
      </c>
      <c r="AH158" s="173"/>
      <c r="AI158" s="174"/>
      <c r="AJ158" s="175"/>
      <c r="AK158" s="894"/>
      <c r="AL158" s="895"/>
      <c r="AM158" s="255"/>
      <c r="AN158" s="257">
        <f>SUM(J162)</f>
        <v>45919</v>
      </c>
      <c r="AO158" s="58"/>
      <c r="AP158" s="58"/>
      <c r="AQ158" s="58"/>
      <c r="AU158" s="226"/>
      <c r="AV158" s="70"/>
      <c r="AX158" s="414"/>
      <c r="AY158" s="228"/>
      <c r="AZ158" s="415"/>
      <c r="BA158" s="416"/>
    </row>
    <row r="159" spans="2:56" ht="58.2" customHeight="1" thickTop="1" thickBot="1" x14ac:dyDescent="0.4">
      <c r="B159" s="1" t="s">
        <v>8</v>
      </c>
      <c r="F159" s="935" t="s">
        <v>9</v>
      </c>
      <c r="G159" s="906" t="s">
        <v>10</v>
      </c>
      <c r="H159" s="398" t="s">
        <v>11</v>
      </c>
      <c r="I159" s="906" t="s">
        <v>12</v>
      </c>
      <c r="J159" s="906" t="s">
        <v>13</v>
      </c>
      <c r="K159" s="906" t="s">
        <v>14</v>
      </c>
      <c r="L159" s="906" t="s">
        <v>15</v>
      </c>
      <c r="M159" s="906" t="s">
        <v>106</v>
      </c>
      <c r="N159" s="398" t="s">
        <v>17</v>
      </c>
      <c r="O159" s="908" t="s">
        <v>18</v>
      </c>
      <c r="P159" s="904" t="s">
        <v>165</v>
      </c>
      <c r="Q159" s="504"/>
      <c r="R159" s="484"/>
      <c r="S159" s="479" t="s">
        <v>164</v>
      </c>
      <c r="T159" s="484"/>
      <c r="U159" s="182"/>
      <c r="V159" s="407" t="s">
        <v>19</v>
      </c>
      <c r="W159" s="407" t="s">
        <v>20</v>
      </c>
      <c r="X159" s="408" t="s">
        <v>16</v>
      </c>
      <c r="Y159" s="407" t="s">
        <v>21</v>
      </c>
      <c r="Z159" s="402" t="s">
        <v>22</v>
      </c>
      <c r="AA159" s="402" t="s">
        <v>23</v>
      </c>
      <c r="AB159" s="409" t="s">
        <v>24</v>
      </c>
      <c r="AC159" s="403"/>
      <c r="AD159" s="403"/>
      <c r="AE159" s="403"/>
      <c r="AF159" s="541"/>
      <c r="AH159" s="99"/>
      <c r="AI159" s="401" t="s">
        <v>25</v>
      </c>
      <c r="AJ159" s="887" t="s">
        <v>20</v>
      </c>
      <c r="AK159" s="886" t="s">
        <v>16</v>
      </c>
      <c r="AL159" s="338" t="s">
        <v>26</v>
      </c>
      <c r="AM159" s="401" t="s">
        <v>27</v>
      </c>
      <c r="AN159" s="879" t="s">
        <v>28</v>
      </c>
      <c r="AO159" s="888"/>
      <c r="AP159" s="403"/>
      <c r="AQ159" s="403"/>
    </row>
    <row r="160" spans="2:56" ht="58.8" customHeight="1" thickTop="1" thickBot="1" x14ac:dyDescent="0.35">
      <c r="B160" s="89" t="s">
        <v>29</v>
      </c>
      <c r="F160" s="936"/>
      <c r="G160" s="910"/>
      <c r="H160" s="399"/>
      <c r="I160" s="910"/>
      <c r="J160" s="910"/>
      <c r="K160" s="910"/>
      <c r="L160" s="910"/>
      <c r="M160" s="907"/>
      <c r="N160" s="64" t="s">
        <v>30</v>
      </c>
      <c r="O160" s="909"/>
      <c r="P160" s="905"/>
      <c r="Q160" s="504"/>
      <c r="R160" s="484"/>
      <c r="S160" s="480"/>
      <c r="T160" s="484"/>
      <c r="U160" s="183"/>
      <c r="V160" s="199" t="s">
        <v>31</v>
      </c>
      <c r="W160" s="402"/>
      <c r="X160" s="406"/>
      <c r="Y160" s="199" t="s">
        <v>32</v>
      </c>
      <c r="Z160" s="120" t="s">
        <v>33</v>
      </c>
      <c r="AA160" s="402"/>
      <c r="AB160" s="409"/>
      <c r="AC160" s="403"/>
      <c r="AD160" s="403"/>
      <c r="AE160" s="403"/>
      <c r="AF160" s="541"/>
      <c r="AH160" s="118"/>
      <c r="AI160" s="261" t="s">
        <v>34</v>
      </c>
      <c r="AJ160" s="869"/>
      <c r="AK160" s="882"/>
      <c r="AL160" s="199" t="s">
        <v>32</v>
      </c>
      <c r="AM160" s="120" t="s">
        <v>33</v>
      </c>
      <c r="AN160" s="880"/>
      <c r="AO160" s="888"/>
      <c r="AP160" s="403"/>
      <c r="AQ160" s="403"/>
      <c r="AR160" s="370"/>
      <c r="AS160" s="371" t="s">
        <v>4</v>
      </c>
      <c r="AT160" s="372"/>
      <c r="AU160" s="367" t="s">
        <v>35</v>
      </c>
      <c r="AV160" s="400" t="s">
        <v>36</v>
      </c>
      <c r="AW160" s="400" t="s">
        <v>37</v>
      </c>
      <c r="AX160" s="400" t="s">
        <v>38</v>
      </c>
      <c r="AY160" s="400" t="s">
        <v>39</v>
      </c>
      <c r="AZ160" s="400" t="s">
        <v>40</v>
      </c>
      <c r="BA160" s="218" t="s">
        <v>41</v>
      </c>
      <c r="BC160" s="918"/>
      <c r="BD160" s="918"/>
    </row>
    <row r="161" spans="2:59" ht="15.6" customHeight="1" thickTop="1" thickBot="1" x14ac:dyDescent="0.35">
      <c r="B161" s="87" t="s">
        <v>42</v>
      </c>
      <c r="C161" s="376">
        <f>_xll.EPF.Yahoo.Price("f")</f>
        <v>9.4450000000000003</v>
      </c>
      <c r="D161" s="376"/>
      <c r="E161" s="18" t="s">
        <v>107</v>
      </c>
      <c r="F161" s="47" t="s">
        <v>43</v>
      </c>
      <c r="G161" s="412" t="s">
        <v>44</v>
      </c>
      <c r="H161" s="412" t="s">
        <v>45</v>
      </c>
      <c r="I161" s="46"/>
      <c r="J161" s="412"/>
      <c r="K161" s="51">
        <v>45653</v>
      </c>
      <c r="L161" s="412" t="s">
        <v>47</v>
      </c>
      <c r="M161" s="38">
        <v>6000</v>
      </c>
      <c r="N161" s="39">
        <v>10.07</v>
      </c>
      <c r="O161" s="185">
        <f>IF(L161="Buy",M161*N161*-1,M161*N161)</f>
        <v>-60420</v>
      </c>
      <c r="P161" s="482"/>
      <c r="Q161" s="506"/>
      <c r="R161" s="492"/>
      <c r="S161" s="482"/>
      <c r="T161" s="492"/>
      <c r="U161" s="184"/>
      <c r="V161" s="211">
        <f ca="1">$C$4</f>
        <v>45702</v>
      </c>
      <c r="W161" s="125" t="str">
        <f>IF(L161="Buy","Sell","Buy")</f>
        <v>Sell</v>
      </c>
      <c r="X161" s="126">
        <f>SUM(M161)</f>
        <v>6000</v>
      </c>
      <c r="Y161" s="197">
        <f>SUM(C161)</f>
        <v>9.4450000000000003</v>
      </c>
      <c r="Z161" s="104">
        <f>IF(W161="Buy",X161*Y161*-1,X161*Y161)</f>
        <v>56670</v>
      </c>
      <c r="AA161" s="104">
        <f>IF(H161="Yes",O161*-1,0)</f>
        <v>60420</v>
      </c>
      <c r="AB161" s="138">
        <f>SUM(O161,Z161)</f>
        <v>-3750</v>
      </c>
      <c r="AC161" s="69"/>
      <c r="AD161" s="69"/>
      <c r="AE161" s="69"/>
      <c r="AF161" s="542"/>
      <c r="AH161" s="274"/>
      <c r="AI161" s="125">
        <f>SUM(J162)</f>
        <v>45919</v>
      </c>
      <c r="AJ161" s="125" t="str">
        <f>IF(L161="Buy","Sell","Buy")</f>
        <v>Sell</v>
      </c>
      <c r="AK161" s="195">
        <f>SUM(M161)</f>
        <v>6000</v>
      </c>
      <c r="AL161" s="200">
        <f>C161</f>
        <v>9.4450000000000003</v>
      </c>
      <c r="AM161" s="104">
        <f>IF(AJ161="Buy",AK161*AL161*-1,AK161*AL161)</f>
        <v>56670</v>
      </c>
      <c r="AN161" s="138">
        <f>SUM(O161,AM161)</f>
        <v>-3750</v>
      </c>
      <c r="AO161" s="58"/>
      <c r="AP161" s="58"/>
      <c r="AQ161" s="58"/>
      <c r="AR161" s="368" t="s">
        <v>5</v>
      </c>
      <c r="AS161" s="369"/>
      <c r="AT161" s="369"/>
      <c r="AU161" s="214">
        <f>SUM(AB157)</f>
        <v>45653</v>
      </c>
      <c r="AV161" s="858">
        <f>SUM(AA187)</f>
        <v>67440</v>
      </c>
      <c r="AW161" s="213"/>
      <c r="AX161" s="861">
        <f ca="1">SUM(AW163,-AW162)</f>
        <v>10079.999999999998</v>
      </c>
      <c r="AY161" s="219"/>
      <c r="AZ161" s="872">
        <f ca="1">SUM(AY163,-1*AY162)</f>
        <v>217</v>
      </c>
      <c r="BA161" s="911">
        <f ca="1">PRODUCT(30,1/AZ161,AX161)</f>
        <v>1393.5483870967741</v>
      </c>
      <c r="BC161" s="299"/>
      <c r="BD161" s="299"/>
    </row>
    <row r="162" spans="2:59" ht="15.6" customHeight="1" thickTop="1" thickBot="1" x14ac:dyDescent="0.35">
      <c r="B162" s="88" t="s">
        <v>48</v>
      </c>
      <c r="C162" s="79">
        <f>_xll.EPF.Yahoo.Price("F250919P00010000")</f>
        <v>1.35</v>
      </c>
      <c r="D162" s="79"/>
      <c r="E162" s="18" t="s">
        <v>107</v>
      </c>
      <c r="F162" s="48" t="s">
        <v>43</v>
      </c>
      <c r="G162" s="49" t="s">
        <v>49</v>
      </c>
      <c r="H162" s="49" t="s">
        <v>45</v>
      </c>
      <c r="I162" s="43">
        <v>10</v>
      </c>
      <c r="J162" s="44">
        <v>45919</v>
      </c>
      <c r="K162" s="44">
        <v>45653</v>
      </c>
      <c r="L162" s="40" t="s">
        <v>47</v>
      </c>
      <c r="M162" s="41">
        <v>60</v>
      </c>
      <c r="N162" s="42">
        <v>1.17</v>
      </c>
      <c r="O162" s="100">
        <f>IF(L162="Buy",M162*N162*-1*100,M162*N162*100)</f>
        <v>-7019.9999999999991</v>
      </c>
      <c r="P162" s="131"/>
      <c r="Q162" s="136"/>
      <c r="R162" s="487"/>
      <c r="S162" s="131"/>
      <c r="T162" s="487"/>
      <c r="U162" s="16"/>
      <c r="V162" s="211">
        <f ca="1">$C$4</f>
        <v>45702</v>
      </c>
      <c r="W162" s="125" t="str">
        <f>IF(L162="Buy","Sell","Buy")</f>
        <v>Sell</v>
      </c>
      <c r="X162" s="126">
        <f>SUM(M162)</f>
        <v>60</v>
      </c>
      <c r="Y162" s="197">
        <f>SUM(C162)</f>
        <v>1.35</v>
      </c>
      <c r="Z162" s="103">
        <f t="shared" ref="Z162" si="47">IF(W162="Buy",X162*Y162*-1*100,X162*Y162*100)</f>
        <v>8100</v>
      </c>
      <c r="AA162" s="104">
        <f>IF(H162="Yes",O162*-1,0)</f>
        <v>7019.9999999999991</v>
      </c>
      <c r="AB162" s="138">
        <f>SUM(O162,Z162)</f>
        <v>1080.0000000000009</v>
      </c>
      <c r="AC162" s="37"/>
      <c r="AD162" s="37"/>
      <c r="AE162" s="37"/>
      <c r="AF162" s="538"/>
      <c r="AH162" s="16"/>
      <c r="AI162" s="125">
        <f>SUM(J162)</f>
        <v>45919</v>
      </c>
      <c r="AJ162" s="125" t="str">
        <f>IF(L162="Buy","Sell","Buy")</f>
        <v>Sell</v>
      </c>
      <c r="AK162" s="195">
        <f>SUM(M162)</f>
        <v>60</v>
      </c>
      <c r="AL162" s="197">
        <f>IF(I162-C161&lt;0,0,I162-C161)</f>
        <v>0.55499999999999972</v>
      </c>
      <c r="AM162" s="104">
        <f>IF(AJ162="Buy",AK162*AL162*-1*100,AK162*AL162*100)</f>
        <v>3329.9999999999982</v>
      </c>
      <c r="AN162" s="138">
        <f>SUM(O162,AM162)</f>
        <v>-3690.0000000000009</v>
      </c>
      <c r="AO162" s="58"/>
      <c r="AP162" s="58"/>
      <c r="AQ162" s="58"/>
      <c r="AR162" s="212" t="s">
        <v>7</v>
      </c>
      <c r="AS162" s="213"/>
      <c r="AT162" s="213"/>
      <c r="AU162" s="214">
        <f ca="1">SUM(AB158)</f>
        <v>45702</v>
      </c>
      <c r="AV162" s="859"/>
      <c r="AW162" s="220">
        <f>SUM(AB188)</f>
        <v>1290.0000000000011</v>
      </c>
      <c r="AX162" s="862"/>
      <c r="AY162" s="195">
        <f ca="1">SUM(AB189)</f>
        <v>49</v>
      </c>
      <c r="AZ162" s="873"/>
      <c r="BA162" s="912"/>
      <c r="BC162" s="299"/>
      <c r="BD162" s="299"/>
      <c r="BE162" s="382"/>
    </row>
    <row r="163" spans="2:59" ht="15" customHeight="1" thickTop="1" thickBot="1" x14ac:dyDescent="0.35">
      <c r="B163" s="7"/>
      <c r="C163" s="5"/>
      <c r="D163" s="5"/>
      <c r="F163" s="74"/>
      <c r="G163" s="72"/>
      <c r="H163" s="72"/>
      <c r="I163" s="14"/>
      <c r="J163" s="15"/>
      <c r="K163" s="15"/>
      <c r="L163" s="12"/>
      <c r="M163" s="12"/>
      <c r="N163" s="77"/>
      <c r="O163" s="134"/>
      <c r="P163" s="131"/>
      <c r="Q163" s="136"/>
      <c r="R163" s="487"/>
      <c r="S163" s="131"/>
      <c r="T163" s="487"/>
      <c r="U163" s="16"/>
      <c r="V163" s="191"/>
      <c r="W163" s="135"/>
      <c r="X163" s="131"/>
      <c r="Y163" s="259"/>
      <c r="Z163" s="136"/>
      <c r="AA163" s="137"/>
      <c r="AB163" s="141"/>
      <c r="AC163" s="37"/>
      <c r="AD163" s="37"/>
      <c r="AE163" s="37"/>
      <c r="AF163" s="538"/>
      <c r="AH163" s="16"/>
      <c r="AI163" s="15"/>
      <c r="AJ163" s="12"/>
      <c r="AK163" s="152"/>
      <c r="AL163" s="77"/>
      <c r="AM163" s="17"/>
      <c r="AN163" s="160"/>
      <c r="AO163" s="58"/>
      <c r="AP163" s="58"/>
      <c r="AQ163" s="58"/>
      <c r="AR163" s="215" t="s">
        <v>50</v>
      </c>
      <c r="AS163" s="216"/>
      <c r="AT163" s="216"/>
      <c r="AU163" s="214">
        <f>SUM(AN158)</f>
        <v>45919</v>
      </c>
      <c r="AV163" s="860"/>
      <c r="AW163" s="221">
        <f ca="1">SUM(AN188)</f>
        <v>11370</v>
      </c>
      <c r="AX163" s="863"/>
      <c r="AY163" s="222">
        <f>SUM(AN189)</f>
        <v>266</v>
      </c>
      <c r="AZ163" s="874"/>
      <c r="BA163" s="913"/>
      <c r="BC163" s="301"/>
      <c r="BD163" s="299"/>
    </row>
    <row r="164" spans="2:59" x14ac:dyDescent="0.3">
      <c r="F164" s="74"/>
      <c r="G164" s="72"/>
      <c r="H164" s="72"/>
      <c r="I164" s="14"/>
      <c r="J164" s="15"/>
      <c r="K164" s="15"/>
      <c r="L164" s="12"/>
      <c r="M164" s="12"/>
      <c r="N164" s="77"/>
      <c r="O164" s="16"/>
      <c r="P164" s="83"/>
      <c r="Q164" s="189"/>
      <c r="R164" s="494"/>
      <c r="S164" s="83"/>
      <c r="T164" s="494"/>
      <c r="U164" s="81"/>
      <c r="V164" s="82"/>
      <c r="W164" s="12"/>
      <c r="X164" s="83"/>
      <c r="Y164" s="84"/>
      <c r="Z164" s="17"/>
      <c r="AA164" s="54"/>
      <c r="AB164" s="85"/>
      <c r="AH164" s="13"/>
      <c r="AI164" s="12"/>
      <c r="AJ164" s="12"/>
      <c r="AK164" s="73"/>
      <c r="AL164" s="12"/>
      <c r="AM164" s="12"/>
      <c r="AN164" s="202"/>
      <c r="AO164" s="58"/>
      <c r="AP164" s="58"/>
      <c r="AQ164" s="58"/>
      <c r="BC164" s="299"/>
      <c r="BD164" s="299"/>
      <c r="BE164" s="24"/>
      <c r="BG164" s="380"/>
    </row>
    <row r="165" spans="2:59" x14ac:dyDescent="0.3">
      <c r="F165" s="186"/>
      <c r="G165" s="112"/>
      <c r="H165" s="112"/>
      <c r="I165" s="187"/>
      <c r="J165" s="86"/>
      <c r="K165" s="86"/>
      <c r="L165" s="6"/>
      <c r="M165" s="6"/>
      <c r="N165" s="84"/>
      <c r="O165" s="81"/>
      <c r="P165" s="83"/>
      <c r="Q165" s="189"/>
      <c r="R165" s="494"/>
      <c r="S165" s="83"/>
      <c r="T165" s="494"/>
      <c r="U165" s="81"/>
      <c r="V165" s="188"/>
      <c r="W165" s="6"/>
      <c r="X165" s="83"/>
      <c r="Y165" s="84"/>
      <c r="Z165" s="189"/>
      <c r="AA165" s="68"/>
      <c r="AB165" s="190"/>
      <c r="AC165" s="37"/>
      <c r="AD165" s="37"/>
      <c r="AE165" s="37"/>
      <c r="AF165" s="538"/>
      <c r="AH165" s="13"/>
      <c r="AI165" s="12"/>
      <c r="AJ165" s="12"/>
      <c r="AK165" s="73"/>
      <c r="AL165" s="12"/>
      <c r="AM165" s="12"/>
      <c r="AN165" s="202"/>
      <c r="AO165" s="58"/>
      <c r="AP165" s="58"/>
      <c r="AQ165" s="58"/>
      <c r="AR165" s="298" t="s">
        <v>52</v>
      </c>
      <c r="AS165" s="295"/>
      <c r="AT165" s="295"/>
      <c r="AU165" s="295"/>
      <c r="AV165" s="295"/>
      <c r="AW165" s="297"/>
      <c r="AX165" s="297"/>
      <c r="AY165" s="297"/>
      <c r="AZ165" s="297"/>
      <c r="BC165" s="299"/>
      <c r="BD165" s="299"/>
      <c r="BE165" s="24"/>
      <c r="BG165" s="380"/>
    </row>
    <row r="166" spans="2:59" x14ac:dyDescent="0.3">
      <c r="F166" s="186"/>
      <c r="G166" s="112"/>
      <c r="H166" s="112"/>
      <c r="I166" s="187"/>
      <c r="J166" s="86"/>
      <c r="K166" s="86"/>
      <c r="L166" s="6"/>
      <c r="M166" s="6"/>
      <c r="N166" s="84"/>
      <c r="O166" s="81"/>
      <c r="P166" s="83"/>
      <c r="Q166" s="189"/>
      <c r="R166" s="494"/>
      <c r="S166" s="83"/>
      <c r="T166" s="494"/>
      <c r="U166" s="81"/>
      <c r="V166" s="188"/>
      <c r="W166" s="6"/>
      <c r="X166" s="83"/>
      <c r="Y166" s="84"/>
      <c r="Z166" s="189"/>
      <c r="AA166" s="68"/>
      <c r="AB166" s="190"/>
      <c r="AC166" s="37"/>
      <c r="AD166" s="37"/>
      <c r="AE166" s="37"/>
      <c r="AF166" s="538"/>
      <c r="AH166" s="13"/>
      <c r="AI166" s="13"/>
      <c r="AJ166" s="12"/>
      <c r="AK166" s="12"/>
      <c r="AL166" s="12"/>
      <c r="AM166" s="12"/>
      <c r="AN166" s="202"/>
      <c r="AO166" s="58"/>
      <c r="AP166" s="58"/>
      <c r="AQ166" s="58"/>
      <c r="AR166" s="284" t="s">
        <v>53</v>
      </c>
      <c r="AS166" s="283"/>
      <c r="AT166" s="283"/>
      <c r="AU166" s="287"/>
      <c r="AV166" s="289">
        <f>SUM(AU161)</f>
        <v>45653</v>
      </c>
      <c r="BC166" s="299"/>
      <c r="BD166" s="299"/>
      <c r="BE166" s="24"/>
      <c r="BG166" s="380"/>
    </row>
    <row r="167" spans="2:59" x14ac:dyDescent="0.3">
      <c r="B167" s="107" t="s">
        <v>54</v>
      </c>
      <c r="C167" s="377" t="s">
        <v>94</v>
      </c>
      <c r="D167" s="529"/>
      <c r="F167" s="161"/>
      <c r="G167" s="59"/>
      <c r="H167" s="59"/>
      <c r="I167" s="60"/>
      <c r="J167" s="61"/>
      <c r="K167" s="61"/>
      <c r="L167" s="11"/>
      <c r="M167" s="11"/>
      <c r="N167" s="63"/>
      <c r="O167" s="101"/>
      <c r="P167" s="131"/>
      <c r="Q167" s="136"/>
      <c r="R167" s="487"/>
      <c r="S167" s="131"/>
      <c r="T167" s="487"/>
      <c r="U167" s="16"/>
      <c r="V167" s="179"/>
      <c r="W167" s="11"/>
      <c r="X167" s="62"/>
      <c r="Y167" s="63"/>
      <c r="Z167" s="75"/>
      <c r="AA167" s="158"/>
      <c r="AB167" s="162"/>
      <c r="AC167" s="37"/>
      <c r="AD167" s="37"/>
      <c r="AE167" s="37"/>
      <c r="AF167" s="538"/>
      <c r="AH167" s="262"/>
      <c r="AI167" s="179"/>
      <c r="AJ167" s="11"/>
      <c r="AK167" s="62"/>
      <c r="AL167" s="63"/>
      <c r="AM167" s="75"/>
      <c r="AN167" s="162"/>
      <c r="AO167" s="58"/>
      <c r="AP167" s="58"/>
      <c r="AQ167" s="58"/>
      <c r="AR167" s="284" t="s">
        <v>55</v>
      </c>
      <c r="AS167" s="283"/>
      <c r="AT167" s="283"/>
      <c r="AU167" s="287"/>
      <c r="AV167" s="289">
        <f>SUM(AU163)</f>
        <v>45919</v>
      </c>
      <c r="BE167" s="24"/>
      <c r="BG167" s="380"/>
    </row>
    <row r="168" spans="2:59" x14ac:dyDescent="0.3">
      <c r="F168" s="186"/>
      <c r="G168" s="112"/>
      <c r="H168" s="112"/>
      <c r="I168" s="187"/>
      <c r="J168" s="86"/>
      <c r="K168" s="86"/>
      <c r="L168" s="6"/>
      <c r="M168" s="6"/>
      <c r="N168" s="84"/>
      <c r="O168" s="81"/>
      <c r="P168" s="83"/>
      <c r="Q168" s="189"/>
      <c r="R168" s="494"/>
      <c r="S168" s="83"/>
      <c r="T168" s="494"/>
      <c r="U168" s="81"/>
      <c r="V168" s="188"/>
      <c r="W168" s="6"/>
      <c r="X168" s="83"/>
      <c r="Y168" s="84"/>
      <c r="Z168" s="189"/>
      <c r="AA168" s="68"/>
      <c r="AB168" s="190"/>
      <c r="AC168" s="37"/>
      <c r="AD168" s="37"/>
      <c r="AE168" s="37"/>
      <c r="AF168" s="538"/>
      <c r="AH168" s="13"/>
      <c r="AI168" s="13"/>
      <c r="AJ168" s="12"/>
      <c r="AK168" s="12"/>
      <c r="AL168" s="12"/>
      <c r="AM168" s="12"/>
      <c r="AN168" s="202"/>
      <c r="AO168" s="58"/>
      <c r="AP168" s="58"/>
      <c r="AQ168" s="58"/>
      <c r="AR168" s="282" t="s">
        <v>56</v>
      </c>
      <c r="AS168" s="282"/>
      <c r="AT168" s="282"/>
      <c r="AU168" s="291"/>
      <c r="AV168" s="292">
        <v>45698</v>
      </c>
      <c r="BC168" s="299"/>
      <c r="BE168" s="24"/>
      <c r="BG168" s="380"/>
    </row>
    <row r="169" spans="2:59" x14ac:dyDescent="0.3">
      <c r="F169" s="186"/>
      <c r="G169" s="112"/>
      <c r="H169" s="112"/>
      <c r="I169" s="187"/>
      <c r="J169" s="86"/>
      <c r="K169" s="86"/>
      <c r="L169" s="6"/>
      <c r="M169" s="6"/>
      <c r="N169" s="84"/>
      <c r="O169" s="81"/>
      <c r="P169" s="83"/>
      <c r="Q169" s="189"/>
      <c r="R169" s="494"/>
      <c r="S169" s="83"/>
      <c r="T169" s="494"/>
      <c r="U169" s="81"/>
      <c r="V169" s="188"/>
      <c r="W169" s="6"/>
      <c r="X169" s="83"/>
      <c r="Y169" s="84"/>
      <c r="Z169" s="189"/>
      <c r="AA169" s="68"/>
      <c r="AB169" s="190"/>
      <c r="AC169" s="37"/>
      <c r="AD169" s="37"/>
      <c r="AE169" s="37"/>
      <c r="AF169" s="538"/>
      <c r="AH169" s="13"/>
      <c r="AI169" s="13"/>
      <c r="AJ169" s="12"/>
      <c r="AK169" s="12"/>
      <c r="AL169" s="12"/>
      <c r="AM169" s="12"/>
      <c r="AN169" s="202"/>
      <c r="AO169" s="58"/>
      <c r="AP169" s="58"/>
      <c r="AQ169" s="58"/>
      <c r="AR169" s="284" t="s">
        <v>57</v>
      </c>
      <c r="AS169" s="283"/>
      <c r="AT169" s="283"/>
      <c r="AU169" s="287"/>
      <c r="AV169" s="289">
        <f ca="1">SUM(AU162)</f>
        <v>45702</v>
      </c>
      <c r="BE169" s="24"/>
      <c r="BG169" s="380"/>
    </row>
    <row r="170" spans="2:59" x14ac:dyDescent="0.3">
      <c r="F170" s="186"/>
      <c r="G170" s="112"/>
      <c r="H170" s="112"/>
      <c r="I170" s="187"/>
      <c r="J170" s="86"/>
      <c r="K170" s="86"/>
      <c r="L170" s="6"/>
      <c r="M170" s="6"/>
      <c r="N170" s="84"/>
      <c r="O170" s="81"/>
      <c r="P170" s="83"/>
      <c r="Q170" s="189"/>
      <c r="R170" s="494"/>
      <c r="S170" s="83"/>
      <c r="T170" s="494"/>
      <c r="U170" s="81"/>
      <c r="V170" s="188"/>
      <c r="W170" s="6"/>
      <c r="X170" s="83"/>
      <c r="Y170" s="84"/>
      <c r="Z170" s="189"/>
      <c r="AA170" s="68"/>
      <c r="AB170" s="190"/>
      <c r="AC170" s="37"/>
      <c r="AD170" s="37"/>
      <c r="AE170" s="37"/>
      <c r="AF170" s="538"/>
      <c r="AH170" s="13"/>
      <c r="AI170" s="135"/>
      <c r="AJ170" s="135"/>
      <c r="AK170" s="277"/>
      <c r="AL170" s="77"/>
      <c r="AM170" s="17"/>
      <c r="AN170" s="141"/>
      <c r="AO170" s="58"/>
      <c r="AP170" s="58"/>
      <c r="AQ170" s="58"/>
      <c r="AR170" s="284" t="s">
        <v>58</v>
      </c>
      <c r="AS170" s="283"/>
      <c r="AT170" s="283"/>
      <c r="AU170" s="287"/>
      <c r="AV170" s="290" t="s">
        <v>59</v>
      </c>
      <c r="BC170" s="299"/>
      <c r="BE170" s="24"/>
      <c r="BG170" s="380"/>
    </row>
    <row r="171" spans="2:59" ht="15" thickBot="1" x14ac:dyDescent="0.35">
      <c r="B171" s="88" t="s">
        <v>117</v>
      </c>
      <c r="C171" s="79" t="e">
        <f>_xll.EPF.Yahoo.Price("F250131C00010000")</f>
        <v>#NUM!</v>
      </c>
      <c r="D171" s="79"/>
      <c r="E171" s="18" t="s">
        <v>107</v>
      </c>
      <c r="F171" s="275" t="s">
        <v>43</v>
      </c>
      <c r="G171" s="97" t="s">
        <v>62</v>
      </c>
      <c r="H171" s="97" t="s">
        <v>51</v>
      </c>
      <c r="I171" s="9">
        <v>10</v>
      </c>
      <c r="J171" s="10">
        <v>45688</v>
      </c>
      <c r="K171" s="10">
        <v>45653</v>
      </c>
      <c r="L171" s="8" t="s">
        <v>63</v>
      </c>
      <c r="M171" s="8">
        <v>60</v>
      </c>
      <c r="N171" s="30">
        <v>0.37</v>
      </c>
      <c r="O171" s="102">
        <f>IF(L171="Buy",M171*N171*-1*100,M171*N171*100)</f>
        <v>2220</v>
      </c>
      <c r="P171" s="131"/>
      <c r="Q171" s="136"/>
      <c r="R171" s="487"/>
      <c r="S171" s="131"/>
      <c r="T171" s="487"/>
      <c r="U171" s="16"/>
      <c r="V171" s="385">
        <v>45686</v>
      </c>
      <c r="W171" s="127" t="str">
        <f>IF(L171="Buy","Sell","Buy")</f>
        <v>Buy</v>
      </c>
      <c r="X171" s="128">
        <f>SUM(M171)</f>
        <v>60</v>
      </c>
      <c r="Y171" s="394">
        <v>0.24</v>
      </c>
      <c r="Z171" s="105">
        <f t="shared" ref="Z171" si="48">IF(W171="Buy",X171*Y171*-1*100,X171*Y171*100)</f>
        <v>-1439.9999999999998</v>
      </c>
      <c r="AA171" s="137">
        <f>IF(H171="Yes",O171*-1,0)</f>
        <v>0</v>
      </c>
      <c r="AB171" s="139">
        <f>SUM(O171,Z171)</f>
        <v>780.00000000000023</v>
      </c>
      <c r="AC171" s="37"/>
      <c r="AD171" s="37"/>
      <c r="AE171" s="37"/>
      <c r="AF171" s="538"/>
      <c r="AH171" s="16"/>
      <c r="AI171" s="424">
        <f>SUM(V171)</f>
        <v>45686</v>
      </c>
      <c r="AJ171" s="127" t="str">
        <f>IF(L171="Buy","Sell","Buy")</f>
        <v>Buy</v>
      </c>
      <c r="AK171" s="201">
        <f>SUM(M171)</f>
        <v>60</v>
      </c>
      <c r="AL171" s="394">
        <v>0.24</v>
      </c>
      <c r="AM171" s="106">
        <f>IF(AJ171="Buy",AK171*AL171*-1*100,AK171*AL171*100)</f>
        <v>-1439.9999999999998</v>
      </c>
      <c r="AN171" s="139">
        <f>SUM(O171,AM171)</f>
        <v>780.00000000000023</v>
      </c>
      <c r="AO171" s="58"/>
      <c r="AP171" s="58"/>
      <c r="AQ171" s="58"/>
      <c r="AR171" s="284" t="s">
        <v>64</v>
      </c>
      <c r="AS171" s="283"/>
      <c r="AT171" s="283"/>
      <c r="AU171" s="287"/>
      <c r="AV171" s="294" cm="1">
        <f t="array" aca="1" ref="AV171" ca="1">NPendingEvents(AV166,AV167,AV168,AV169,AV170)</f>
        <v>2</v>
      </c>
      <c r="BC171" s="299"/>
      <c r="BE171" s="24"/>
      <c r="BG171" s="380"/>
    </row>
    <row r="172" spans="2:59" ht="15.6" thickTop="1" thickBot="1" x14ac:dyDescent="0.35">
      <c r="B172" s="304" t="s">
        <v>163</v>
      </c>
      <c r="C172" s="65" t="s">
        <v>61</v>
      </c>
      <c r="D172" s="65"/>
      <c r="E172" s="66" t="s">
        <v>107</v>
      </c>
      <c r="F172" s="275" t="s">
        <v>43</v>
      </c>
      <c r="G172" s="97" t="s">
        <v>62</v>
      </c>
      <c r="H172" s="97" t="s">
        <v>51</v>
      </c>
      <c r="I172" s="9">
        <v>10</v>
      </c>
      <c r="J172" s="10" t="s">
        <v>181</v>
      </c>
      <c r="K172" s="10">
        <v>45653</v>
      </c>
      <c r="L172" s="8" t="s">
        <v>63</v>
      </c>
      <c r="M172" s="8">
        <v>60</v>
      </c>
      <c r="N172" s="30">
        <v>0.56000000000000005</v>
      </c>
      <c r="O172" s="102">
        <f>IF(L172="Buy",M172*N172*-1*100,M172*N172*100)</f>
        <v>3360</v>
      </c>
      <c r="P172" s="131"/>
      <c r="Q172" s="136"/>
      <c r="R172" s="487"/>
      <c r="S172" s="131"/>
      <c r="T172" s="487"/>
      <c r="U172" s="16"/>
      <c r="V172" s="385">
        <v>45700</v>
      </c>
      <c r="W172" s="127" t="str">
        <f>IF(L172="Buy","Sell","Buy")</f>
        <v>Buy</v>
      </c>
      <c r="X172" s="128">
        <f>SUM(M172)</f>
        <v>60</v>
      </c>
      <c r="Y172" s="394">
        <v>0.03</v>
      </c>
      <c r="Z172" s="105">
        <f t="shared" ref="Z172" si="49">IF(W172="Buy",X172*Y172*-1*100,X172*Y172*100)</f>
        <v>-179.99999999999997</v>
      </c>
      <c r="AA172" s="137">
        <f>IF(H172="Yes",O172*-1,0)</f>
        <v>0</v>
      </c>
      <c r="AB172" s="139">
        <f>SUM(O172,Z172)</f>
        <v>3180</v>
      </c>
      <c r="AC172" s="37"/>
      <c r="AD172" s="37"/>
      <c r="AE172" s="37"/>
      <c r="AF172" s="538"/>
      <c r="AH172" s="16"/>
      <c r="AI172" s="385">
        <v>45700</v>
      </c>
      <c r="AJ172" s="127" t="str">
        <f>IF(L172="Buy","Sell","Buy")</f>
        <v>Buy</v>
      </c>
      <c r="AK172" s="201">
        <f>SUM(M172)</f>
        <v>60</v>
      </c>
      <c r="AL172" s="764">
        <v>0.03</v>
      </c>
      <c r="AM172" s="106">
        <f>IF(AJ172="Buy",AK172*AL172*-1*100,AK172*AL172*100)</f>
        <v>-179.99999999999997</v>
      </c>
      <c r="AN172" s="139">
        <f>SUM(O172,AM172)</f>
        <v>3180</v>
      </c>
      <c r="AO172" s="58"/>
      <c r="AP172" s="58"/>
      <c r="AQ172" s="58"/>
      <c r="AR172" s="282" t="s">
        <v>66</v>
      </c>
      <c r="AS172" s="282"/>
      <c r="AT172" s="282"/>
      <c r="AU172" s="288"/>
      <c r="AV172" s="293">
        <v>0.15</v>
      </c>
      <c r="BE172" s="24"/>
      <c r="BG172" s="380"/>
    </row>
    <row r="173" spans="2:59" ht="15" thickTop="1" x14ac:dyDescent="0.3">
      <c r="B173" s="7"/>
      <c r="C173" s="5"/>
      <c r="D173" s="5"/>
      <c r="F173" s="74"/>
      <c r="G173" s="72"/>
      <c r="H173" s="72"/>
      <c r="I173" s="14"/>
      <c r="J173" s="15"/>
      <c r="K173" s="15"/>
      <c r="L173" s="12"/>
      <c r="M173" s="12"/>
      <c r="N173" s="77"/>
      <c r="O173" s="134"/>
      <c r="P173" s="131"/>
      <c r="Q173" s="136"/>
      <c r="R173" s="487"/>
      <c r="S173" s="131"/>
      <c r="T173" s="487"/>
      <c r="U173" s="16"/>
      <c r="V173" s="191"/>
      <c r="W173" s="135"/>
      <c r="X173" s="131"/>
      <c r="Y173" s="259"/>
      <c r="Z173" s="136"/>
      <c r="AA173" s="137"/>
      <c r="AB173" s="141"/>
      <c r="AC173" s="37"/>
      <c r="AD173" s="37"/>
      <c r="AE173" s="37"/>
      <c r="AF173" s="538"/>
      <c r="AH173" s="13"/>
      <c r="AI173" s="13"/>
      <c r="AJ173" s="12"/>
      <c r="AK173" s="12"/>
      <c r="AL173" s="12"/>
      <c r="AM173" s="12"/>
      <c r="AN173" s="202"/>
      <c r="AO173" s="58"/>
      <c r="AP173" s="58"/>
      <c r="AQ173" s="58"/>
      <c r="AR173" s="284" t="s">
        <v>68</v>
      </c>
      <c r="AS173" s="283"/>
      <c r="AT173" s="283"/>
      <c r="AU173" s="287"/>
      <c r="AV173" s="294">
        <f>SUM(M161)</f>
        <v>6000</v>
      </c>
      <c r="BE173" s="24"/>
      <c r="BG173" s="380"/>
    </row>
    <row r="174" spans="2:59" x14ac:dyDescent="0.3">
      <c r="F174" s="186"/>
      <c r="G174" s="112"/>
      <c r="H174" s="112"/>
      <c r="I174" s="187"/>
      <c r="J174" s="86"/>
      <c r="K174" s="86"/>
      <c r="L174" s="6"/>
      <c r="M174" s="6"/>
      <c r="N174" s="84"/>
      <c r="O174" s="81"/>
      <c r="P174" s="83"/>
      <c r="Q174" s="189"/>
      <c r="R174" s="494"/>
      <c r="S174" s="83"/>
      <c r="T174" s="494"/>
      <c r="U174" s="81"/>
      <c r="V174" s="188"/>
      <c r="W174" s="6"/>
      <c r="X174" s="83"/>
      <c r="Y174" s="84"/>
      <c r="Z174" s="189"/>
      <c r="AA174" s="68"/>
      <c r="AB174" s="190"/>
      <c r="AC174" s="37"/>
      <c r="AD174" s="37"/>
      <c r="AE174" s="37"/>
      <c r="AF174" s="538"/>
      <c r="AH174" s="13"/>
      <c r="AI174" s="13"/>
      <c r="AJ174" s="12"/>
      <c r="AK174" s="12"/>
      <c r="AL174" s="12"/>
      <c r="AM174" s="12"/>
      <c r="AN174" s="202"/>
      <c r="AO174" s="58"/>
      <c r="AP174" s="58"/>
      <c r="AQ174" s="58"/>
      <c r="AR174" s="284" t="s">
        <v>70</v>
      </c>
      <c r="AS174" s="283"/>
      <c r="AT174" s="283"/>
      <c r="AU174" s="287"/>
      <c r="AV174" s="296">
        <f>PRODUCT(AV172,AV173)</f>
        <v>900</v>
      </c>
      <c r="BE174" s="24"/>
      <c r="BG174" s="380"/>
    </row>
    <row r="175" spans="2:59" x14ac:dyDescent="0.3">
      <c r="F175" s="186"/>
      <c r="G175" s="112"/>
      <c r="H175" s="112"/>
      <c r="I175" s="187"/>
      <c r="J175" s="86"/>
      <c r="K175" s="86"/>
      <c r="L175" s="6"/>
      <c r="M175" s="6"/>
      <c r="N175" s="84"/>
      <c r="O175" s="81"/>
      <c r="P175" s="83"/>
      <c r="Q175" s="189"/>
      <c r="R175" s="494"/>
      <c r="S175" s="83"/>
      <c r="T175" s="494"/>
      <c r="U175" s="81"/>
      <c r="V175" s="188"/>
      <c r="W175" s="6"/>
      <c r="X175" s="83"/>
      <c r="Y175" s="84"/>
      <c r="Z175" s="189"/>
      <c r="AA175" s="68"/>
      <c r="AB175" s="190"/>
      <c r="AC175" s="37"/>
      <c r="AD175" s="37"/>
      <c r="AE175" s="37"/>
      <c r="AF175" s="538"/>
      <c r="AH175" s="13"/>
      <c r="AI175" s="13"/>
      <c r="AJ175" s="12"/>
      <c r="AK175" s="12"/>
      <c r="AL175" s="12"/>
      <c r="AM175" s="12"/>
      <c r="AN175" s="202"/>
      <c r="AO175" s="58"/>
      <c r="AP175" s="58"/>
      <c r="AQ175" s="58"/>
      <c r="AR175" s="284" t="s">
        <v>72</v>
      </c>
      <c r="AS175" s="283"/>
      <c r="AT175" s="283"/>
      <c r="AU175" s="287"/>
      <c r="AV175" s="296">
        <f ca="1">PRODUCT(AV174,AV171)</f>
        <v>1800</v>
      </c>
      <c r="BE175" s="24"/>
      <c r="BG175" s="380"/>
    </row>
    <row r="176" spans="2:59" x14ac:dyDescent="0.3">
      <c r="F176" s="186"/>
      <c r="G176" s="112"/>
      <c r="H176" s="112"/>
      <c r="I176" s="501"/>
      <c r="K176" s="15"/>
      <c r="L176" s="6"/>
      <c r="M176" s="6"/>
      <c r="N176" s="84"/>
      <c r="O176" s="81"/>
      <c r="P176" s="83"/>
      <c r="Q176" s="189"/>
      <c r="R176" s="494"/>
      <c r="S176" s="83"/>
      <c r="T176" s="494"/>
      <c r="U176" s="81"/>
      <c r="V176" s="188"/>
      <c r="W176" s="6"/>
      <c r="X176" s="83"/>
      <c r="Y176" s="84"/>
      <c r="Z176" s="189"/>
      <c r="AA176" s="68"/>
      <c r="AB176" s="190"/>
      <c r="AC176" s="37"/>
      <c r="AD176" s="37"/>
      <c r="AE176" s="37"/>
      <c r="AF176" s="538"/>
      <c r="AH176" s="13"/>
      <c r="AI176" s="13"/>
      <c r="AJ176" s="12"/>
      <c r="AK176" s="12"/>
      <c r="AL176" s="12"/>
      <c r="AM176" s="12"/>
      <c r="AN176" s="202"/>
      <c r="AO176" s="58"/>
      <c r="AP176" s="58"/>
      <c r="AQ176" s="58"/>
      <c r="BE176" s="24"/>
      <c r="BG176" s="380"/>
    </row>
    <row r="177" spans="6:59" x14ac:dyDescent="0.3">
      <c r="F177" s="186"/>
      <c r="G177" s="112"/>
      <c r="H177" s="766"/>
      <c r="I177" s="760"/>
      <c r="J177" s="761"/>
      <c r="K177" s="762" t="s">
        <v>248</v>
      </c>
      <c r="L177" s="762"/>
      <c r="M177" s="763"/>
      <c r="N177" s="669"/>
      <c r="O177" s="81"/>
      <c r="P177" s="83"/>
      <c r="Q177" s="189"/>
      <c r="R177" s="494"/>
      <c r="S177" s="83"/>
      <c r="T177" s="494"/>
      <c r="U177" s="81"/>
      <c r="V177" s="188"/>
      <c r="W177" s="6"/>
      <c r="X177" s="83"/>
      <c r="Y177" s="84"/>
      <c r="Z177" s="189"/>
      <c r="AA177" s="68"/>
      <c r="AB177" s="190"/>
      <c r="AC177" s="37"/>
      <c r="AD177" s="37"/>
      <c r="AE177" s="37"/>
      <c r="AF177" s="538"/>
      <c r="AH177" s="13"/>
      <c r="AI177" s="13"/>
      <c r="AJ177" s="12"/>
      <c r="AK177" s="12"/>
      <c r="AL177" s="12"/>
      <c r="AM177" s="12"/>
      <c r="AN177" s="202"/>
      <c r="AO177" s="58"/>
      <c r="AP177" s="58"/>
      <c r="AQ177" s="58"/>
      <c r="AR177" s="298" t="s">
        <v>73</v>
      </c>
      <c r="AS177" s="284"/>
      <c r="AT177" s="284"/>
      <c r="AU177" s="302"/>
      <c r="AV177" s="295"/>
      <c r="BE177" s="24"/>
      <c r="BG177" s="380"/>
    </row>
    <row r="178" spans="6:59" x14ac:dyDescent="0.3">
      <c r="F178" s="186"/>
      <c r="G178" s="112"/>
      <c r="H178" s="766"/>
      <c r="I178" s="760"/>
      <c r="J178" s="761"/>
      <c r="K178" s="762" t="s">
        <v>250</v>
      </c>
      <c r="L178" s="762"/>
      <c r="M178" s="763"/>
      <c r="N178" s="767"/>
      <c r="O178" s="81"/>
      <c r="P178" s="83"/>
      <c r="Q178" s="189"/>
      <c r="R178" s="494"/>
      <c r="S178" s="83"/>
      <c r="T178" s="494"/>
      <c r="U178" s="81"/>
      <c r="V178" s="188"/>
      <c r="W178" s="6"/>
      <c r="X178" s="83"/>
      <c r="Y178" s="84"/>
      <c r="Z178" s="189"/>
      <c r="AA178" s="68"/>
      <c r="AB178" s="190"/>
      <c r="AC178" s="37"/>
      <c r="AD178" s="37"/>
      <c r="AE178" s="37"/>
      <c r="AF178" s="538"/>
      <c r="AH178" s="13"/>
      <c r="AI178" s="13"/>
      <c r="AJ178" s="12"/>
      <c r="AK178" s="12"/>
      <c r="AL178" s="12"/>
      <c r="AM178" s="12"/>
      <c r="AN178" s="202"/>
      <c r="AO178" s="58"/>
      <c r="AP178" s="58"/>
      <c r="AQ178" s="58"/>
      <c r="AR178" s="284" t="s">
        <v>53</v>
      </c>
      <c r="AS178" s="284"/>
      <c r="AT178" s="284"/>
      <c r="AU178" s="302"/>
      <c r="AV178" s="289">
        <f>SUM(AU161)</f>
        <v>45653</v>
      </c>
      <c r="BE178" s="24"/>
      <c r="BG178" s="380"/>
    </row>
    <row r="179" spans="6:59" x14ac:dyDescent="0.3">
      <c r="F179" s="186"/>
      <c r="G179" s="112"/>
      <c r="H179" s="112"/>
      <c r="I179" s="187"/>
      <c r="J179" s="86"/>
      <c r="K179" s="86"/>
      <c r="L179" s="6"/>
      <c r="M179" s="6"/>
      <c r="N179" s="84"/>
      <c r="O179" s="81"/>
      <c r="P179" s="83"/>
      <c r="Q179" s="189"/>
      <c r="R179" s="494"/>
      <c r="S179" s="83"/>
      <c r="T179" s="494"/>
      <c r="U179" s="81"/>
      <c r="V179" s="188"/>
      <c r="W179" s="6"/>
      <c r="X179" s="83"/>
      <c r="Y179" s="84"/>
      <c r="Z179" s="189"/>
      <c r="AA179" s="68"/>
      <c r="AB179" s="190"/>
      <c r="AC179" s="37"/>
      <c r="AD179" s="37"/>
      <c r="AE179" s="37"/>
      <c r="AF179" s="538"/>
      <c r="AH179" s="13"/>
      <c r="AI179" s="13"/>
      <c r="AJ179" s="12"/>
      <c r="AK179" s="12"/>
      <c r="AL179" s="12"/>
      <c r="AM179" s="12"/>
      <c r="AN179" s="202"/>
      <c r="AO179" s="58"/>
      <c r="AP179" s="58"/>
      <c r="AQ179" s="58"/>
      <c r="AR179" s="284" t="s">
        <v>55</v>
      </c>
      <c r="AS179" s="284"/>
      <c r="AT179" s="284"/>
      <c r="AU179" s="302"/>
      <c r="AV179" s="289">
        <f>SUM(AU163)</f>
        <v>45919</v>
      </c>
      <c r="BE179" s="24"/>
      <c r="BG179" s="380"/>
    </row>
    <row r="180" spans="6:59" x14ac:dyDescent="0.3">
      <c r="F180" s="186"/>
      <c r="G180" s="112"/>
      <c r="H180" s="112"/>
      <c r="I180" s="187"/>
      <c r="J180" s="86"/>
      <c r="K180" s="86"/>
      <c r="L180" s="6"/>
      <c r="M180" s="6"/>
      <c r="N180" s="84"/>
      <c r="O180" s="81"/>
      <c r="P180" s="83"/>
      <c r="Q180" s="189"/>
      <c r="R180" s="494"/>
      <c r="S180" s="83"/>
      <c r="T180" s="494"/>
      <c r="U180" s="81"/>
      <c r="V180" s="188"/>
      <c r="W180" s="6"/>
      <c r="X180" s="83"/>
      <c r="Y180" s="84"/>
      <c r="Z180" s="189"/>
      <c r="AA180" s="68"/>
      <c r="AB180" s="190"/>
      <c r="AC180" s="37"/>
      <c r="AD180" s="37"/>
      <c r="AE180" s="37"/>
      <c r="AF180" s="538"/>
      <c r="AH180" s="13"/>
      <c r="AI180" s="13"/>
      <c r="AJ180" s="12"/>
      <c r="AK180" s="12"/>
      <c r="AL180" s="12"/>
      <c r="AM180" s="12"/>
      <c r="AN180" s="202"/>
      <c r="AO180" s="58"/>
      <c r="AP180" s="58"/>
      <c r="AQ180" s="58"/>
      <c r="AR180" s="282" t="s">
        <v>74</v>
      </c>
      <c r="AS180" s="282"/>
      <c r="AT180" s="282"/>
      <c r="AU180" s="288"/>
      <c r="AV180" s="303">
        <v>45688</v>
      </c>
      <c r="BE180" s="24"/>
      <c r="BG180" s="380"/>
    </row>
    <row r="181" spans="6:59" x14ac:dyDescent="0.3">
      <c r="F181" s="186"/>
      <c r="G181" s="112"/>
      <c r="H181" s="112"/>
      <c r="I181" s="187"/>
      <c r="J181" s="86"/>
      <c r="K181" s="86"/>
      <c r="L181" s="6"/>
      <c r="M181" s="6"/>
      <c r="N181" s="84"/>
      <c r="O181" s="81"/>
      <c r="P181" s="83"/>
      <c r="Q181" s="189"/>
      <c r="R181" s="494"/>
      <c r="S181" s="83"/>
      <c r="T181" s="494"/>
      <c r="U181" s="81"/>
      <c r="V181" s="188"/>
      <c r="W181" s="6"/>
      <c r="X181" s="83"/>
      <c r="Y181" s="84"/>
      <c r="Z181" s="189"/>
      <c r="AA181" s="68"/>
      <c r="AB181" s="190"/>
      <c r="AC181" s="37"/>
      <c r="AD181" s="37"/>
      <c r="AE181" s="37"/>
      <c r="AF181" s="538"/>
      <c r="AH181" s="13"/>
      <c r="AI181" s="13"/>
      <c r="AJ181" s="12"/>
      <c r="AK181" s="12"/>
      <c r="AL181" s="12"/>
      <c r="AM181" s="12"/>
      <c r="AN181" s="202"/>
      <c r="AO181" s="58"/>
      <c r="AP181" s="58"/>
      <c r="AQ181" s="58"/>
      <c r="AR181" s="284" t="s">
        <v>57</v>
      </c>
      <c r="AS181" s="283"/>
      <c r="AT181" s="283"/>
      <c r="AU181" s="287"/>
      <c r="AV181" s="289">
        <f ca="1">SUM(AU162)</f>
        <v>45702</v>
      </c>
      <c r="BE181" s="24"/>
      <c r="BG181" s="380"/>
    </row>
    <row r="182" spans="6:59" x14ac:dyDescent="0.3">
      <c r="F182" s="186"/>
      <c r="G182" s="112"/>
      <c r="H182" s="112"/>
      <c r="I182" s="187"/>
      <c r="J182" s="86"/>
      <c r="K182" s="86"/>
      <c r="L182" s="6"/>
      <c r="M182" s="6"/>
      <c r="N182" s="84"/>
      <c r="O182" s="81"/>
      <c r="P182" s="83"/>
      <c r="Q182" s="189"/>
      <c r="R182" s="494"/>
      <c r="S182" s="83"/>
      <c r="T182" s="494"/>
      <c r="U182" s="81"/>
      <c r="V182" s="188"/>
      <c r="W182" s="6"/>
      <c r="X182" s="83"/>
      <c r="Y182" s="84"/>
      <c r="Z182" s="189"/>
      <c r="AA182" s="68"/>
      <c r="AB182" s="190"/>
      <c r="AC182" s="37"/>
      <c r="AD182" s="37"/>
      <c r="AE182" s="37"/>
      <c r="AF182" s="538"/>
      <c r="AH182" s="13"/>
      <c r="AI182" s="13"/>
      <c r="AJ182" s="12"/>
      <c r="AK182" s="12"/>
      <c r="AL182" s="12"/>
      <c r="AM182" s="12"/>
      <c r="AN182" s="202"/>
      <c r="AO182" s="58"/>
      <c r="AP182" s="58"/>
      <c r="AQ182" s="58"/>
      <c r="AR182" s="284" t="s">
        <v>58</v>
      </c>
      <c r="AS182" s="283"/>
      <c r="AT182" s="283"/>
      <c r="AU182" s="287"/>
      <c r="AV182" s="290" t="s">
        <v>75</v>
      </c>
      <c r="BE182" s="24"/>
      <c r="BG182" s="380"/>
    </row>
    <row r="183" spans="6:59" x14ac:dyDescent="0.3">
      <c r="F183" s="186"/>
      <c r="G183" s="112"/>
      <c r="H183" s="112"/>
      <c r="I183" s="187"/>
      <c r="J183" s="86"/>
      <c r="K183" s="86"/>
      <c r="L183" s="6"/>
      <c r="M183" s="6"/>
      <c r="N183" s="84"/>
      <c r="O183" s="81"/>
      <c r="P183" s="83"/>
      <c r="Q183" s="189"/>
      <c r="R183" s="494"/>
      <c r="S183" s="83"/>
      <c r="T183" s="494"/>
      <c r="U183" s="81"/>
      <c r="V183" s="188"/>
      <c r="W183" s="6"/>
      <c r="X183" s="83"/>
      <c r="Y183" s="84"/>
      <c r="Z183" s="189"/>
      <c r="AA183" s="68"/>
      <c r="AB183" s="190"/>
      <c r="AC183" s="37"/>
      <c r="AD183" s="37"/>
      <c r="AE183" s="37"/>
      <c r="AF183" s="538"/>
      <c r="AH183" s="13"/>
      <c r="AI183" s="13"/>
      <c r="AJ183" s="12"/>
      <c r="AK183" s="12"/>
      <c r="AL183" s="12"/>
      <c r="AM183" s="12"/>
      <c r="AN183" s="202"/>
      <c r="AO183" s="58"/>
      <c r="AP183" s="58"/>
      <c r="AQ183" s="58"/>
      <c r="AR183" s="284" t="s">
        <v>76</v>
      </c>
      <c r="AS183" s="283"/>
      <c r="AT183" s="283"/>
      <c r="AU183" s="287"/>
      <c r="AV183" s="294" cm="1">
        <f t="array" aca="1" ref="AV183" ca="1">NPendingEvents(AV178,AV179,AV180,AV181,AV182)</f>
        <v>7</v>
      </c>
      <c r="BE183" s="24"/>
      <c r="BG183" s="380"/>
    </row>
    <row r="184" spans="6:59" x14ac:dyDescent="0.3">
      <c r="F184" s="186"/>
      <c r="G184" s="112"/>
      <c r="H184" s="112"/>
      <c r="I184" s="187"/>
      <c r="J184" s="86"/>
      <c r="K184" s="86"/>
      <c r="L184" s="6"/>
      <c r="M184" s="6"/>
      <c r="N184" s="84"/>
      <c r="O184" s="81"/>
      <c r="P184" s="83"/>
      <c r="Q184" s="189"/>
      <c r="R184" s="494"/>
      <c r="S184" s="83"/>
      <c r="T184" s="494"/>
      <c r="U184" s="81"/>
      <c r="V184" s="188"/>
      <c r="W184" s="6"/>
      <c r="X184" s="83"/>
      <c r="Y184" s="84"/>
      <c r="Z184" s="189"/>
      <c r="AA184" s="68"/>
      <c r="AB184" s="190"/>
      <c r="AC184" s="37"/>
      <c r="AD184" s="37"/>
      <c r="AE184" s="37"/>
      <c r="AF184" s="538"/>
      <c r="AH184" s="13"/>
      <c r="AI184" s="13"/>
      <c r="AJ184" s="554"/>
      <c r="AK184" s="554"/>
      <c r="AL184" s="278"/>
      <c r="AM184" s="689" t="s">
        <v>226</v>
      </c>
      <c r="AN184" s="701">
        <v>450</v>
      </c>
      <c r="AO184" s="58"/>
      <c r="AP184" s="58"/>
      <c r="AQ184" s="58"/>
      <c r="AR184" s="282" t="s">
        <v>77</v>
      </c>
      <c r="AS184" s="282"/>
      <c r="AT184" s="282"/>
      <c r="AU184" s="288"/>
      <c r="AV184" s="65">
        <v>0.3</v>
      </c>
      <c r="BE184" s="24"/>
      <c r="BG184" s="380"/>
    </row>
    <row r="185" spans="6:59" x14ac:dyDescent="0.3">
      <c r="F185" s="186"/>
      <c r="G185" s="112"/>
      <c r="H185" s="112"/>
      <c r="I185" s="187"/>
      <c r="J185" s="86"/>
      <c r="K185" s="86"/>
      <c r="L185" s="6"/>
      <c r="M185" s="6"/>
      <c r="N185" s="84"/>
      <c r="O185" s="81"/>
      <c r="P185" s="83"/>
      <c r="Q185" s="189"/>
      <c r="R185" s="494"/>
      <c r="S185" s="83"/>
      <c r="T185" s="494"/>
      <c r="U185" s="81"/>
      <c r="V185" s="188"/>
      <c r="W185" s="6"/>
      <c r="X185" s="83"/>
      <c r="Y185" s="84"/>
      <c r="Z185" s="189"/>
      <c r="AA185" s="68"/>
      <c r="AB185" s="190"/>
      <c r="AC185" s="37"/>
      <c r="AD185" s="37"/>
      <c r="AE185" s="37"/>
      <c r="AF185" s="538"/>
      <c r="AH185" s="13"/>
      <c r="AI185" s="13"/>
      <c r="AJ185" s="12"/>
      <c r="AK185" s="12"/>
      <c r="AL185" s="194"/>
      <c r="AM185" s="194" t="s">
        <v>78</v>
      </c>
      <c r="AN185" s="285">
        <f ca="1">SUM(AV175)</f>
        <v>1800</v>
      </c>
      <c r="AO185" s="58"/>
      <c r="AP185" s="58"/>
      <c r="AQ185" s="58"/>
      <c r="AR185" s="284" t="s">
        <v>68</v>
      </c>
      <c r="AS185" s="283"/>
      <c r="AT185" s="283"/>
      <c r="AU185" s="287"/>
      <c r="AV185" s="294">
        <f>SUM(M161)</f>
        <v>6000</v>
      </c>
      <c r="BE185" s="24"/>
      <c r="BG185" s="380"/>
    </row>
    <row r="186" spans="6:59" ht="15" thickBot="1" x14ac:dyDescent="0.35">
      <c r="F186" s="31"/>
      <c r="G186" s="32"/>
      <c r="H186" s="32"/>
      <c r="I186" s="28"/>
      <c r="J186" s="28"/>
      <c r="K186" s="28"/>
      <c r="L186" s="28"/>
      <c r="M186" s="28"/>
      <c r="N186" s="28"/>
      <c r="O186" s="33"/>
      <c r="P186" s="475"/>
      <c r="Q186" s="507"/>
      <c r="R186" s="495"/>
      <c r="S186" s="475"/>
      <c r="T186" s="495"/>
      <c r="U186" s="33"/>
      <c r="V186" s="28"/>
      <c r="W186" s="28"/>
      <c r="X186" s="34"/>
      <c r="Y186" s="395"/>
      <c r="Z186" s="28"/>
      <c r="AA186" s="28"/>
      <c r="AB186" s="35"/>
      <c r="AC186"/>
      <c r="AD186"/>
      <c r="AE186"/>
      <c r="AF186" s="538"/>
      <c r="AH186" s="205"/>
      <c r="AI186" s="205"/>
      <c r="AJ186" s="145"/>
      <c r="AK186" s="145"/>
      <c r="AL186" s="374"/>
      <c r="AM186" s="374" t="s">
        <v>79</v>
      </c>
      <c r="AN186" s="285">
        <f ca="1">PRODUCT(AV187)</f>
        <v>12600</v>
      </c>
      <c r="AR186" s="284" t="s">
        <v>80</v>
      </c>
      <c r="AS186" s="283"/>
      <c r="AT186" s="283"/>
      <c r="AU186" s="287"/>
      <c r="AV186" s="296">
        <f>PRODUCT(AV184,AV185)</f>
        <v>1800</v>
      </c>
      <c r="BE186" s="24"/>
      <c r="BG186" s="380"/>
    </row>
    <row r="187" spans="6:59" x14ac:dyDescent="0.3">
      <c r="F187" s="21"/>
      <c r="G187" s="21"/>
      <c r="H187" s="21"/>
      <c r="K187" s="1"/>
      <c r="L187" s="1"/>
      <c r="M187" s="1"/>
      <c r="N187" s="1"/>
      <c r="O187" s="4"/>
      <c r="U187" s="4"/>
      <c r="V187" s="1"/>
      <c r="W187" s="1"/>
      <c r="X187" s="113"/>
      <c r="Y187" s="113"/>
      <c r="Z187" s="114" t="s">
        <v>81</v>
      </c>
      <c r="AA187" s="103">
        <f>SUM(AA161:AA173)</f>
        <v>67440</v>
      </c>
      <c r="AB187" s="76"/>
      <c r="AC187" s="198">
        <f>SUM(AA187)</f>
        <v>67440</v>
      </c>
      <c r="AE187"/>
      <c r="AF187" s="538"/>
      <c r="AH187" s="67"/>
      <c r="AI187" s="242"/>
      <c r="AJ187" s="242"/>
      <c r="AK187" s="235"/>
      <c r="AL187" s="235"/>
      <c r="AM187" s="236" t="s">
        <v>81</v>
      </c>
      <c r="AN187" s="241">
        <f>SUM(AA161:AA184)</f>
        <v>67440</v>
      </c>
      <c r="AR187" s="284" t="s">
        <v>82</v>
      </c>
      <c r="AS187" s="283"/>
      <c r="AT187" s="283"/>
      <c r="AU187" s="287"/>
      <c r="AV187" s="296">
        <f ca="1">PRODUCT(AV183,AV186)</f>
        <v>12600</v>
      </c>
      <c r="AW187" s="300"/>
      <c r="BE187" s="24"/>
      <c r="BG187" s="380"/>
    </row>
    <row r="188" spans="6:59" x14ac:dyDescent="0.3">
      <c r="F188" s="21"/>
      <c r="G188" s="21"/>
      <c r="H188" s="21"/>
      <c r="I188" s="417" t="s">
        <v>83</v>
      </c>
      <c r="J188" s="418" t="s">
        <v>46</v>
      </c>
      <c r="K188" s="1"/>
      <c r="L188" s="78"/>
      <c r="M188" s="78"/>
      <c r="N188" s="1"/>
      <c r="O188" s="4"/>
      <c r="U188" s="4"/>
      <c r="V188" s="1"/>
      <c r="W188" s="1"/>
      <c r="X188" s="115" t="s">
        <v>84</v>
      </c>
      <c r="Y188" s="113"/>
      <c r="Z188" s="114"/>
      <c r="AA188" s="12"/>
      <c r="AB188" s="142">
        <f>SUM(AB161:AB186)</f>
        <v>1290.0000000000011</v>
      </c>
      <c r="AD188" s="198">
        <f>SUM(AB188)</f>
        <v>1290.0000000000011</v>
      </c>
      <c r="AE188" s="354"/>
      <c r="AF188" s="537"/>
      <c r="AH188" s="2"/>
      <c r="AI188" s="5"/>
      <c r="AJ188" s="5"/>
      <c r="AK188" s="36"/>
      <c r="AL188" s="36"/>
      <c r="AM188" s="114" t="s">
        <v>84</v>
      </c>
      <c r="AN188" s="142">
        <f ca="1">SUM(AN160:AN186)</f>
        <v>11370</v>
      </c>
      <c r="AO188" s="2"/>
      <c r="AP188" s="142">
        <f ca="1">AN188</f>
        <v>11370</v>
      </c>
      <c r="AQ188" s="2"/>
      <c r="AW188" s="24"/>
      <c r="BE188" s="24"/>
      <c r="BG188" s="380"/>
    </row>
    <row r="189" spans="6:59" x14ac:dyDescent="0.3">
      <c r="F189" s="21"/>
      <c r="G189" s="21"/>
      <c r="H189" s="21"/>
      <c r="K189" s="1"/>
      <c r="L189" s="78"/>
      <c r="M189" s="78"/>
      <c r="N189" s="1"/>
      <c r="O189" s="4"/>
      <c r="U189" s="4"/>
      <c r="V189" s="1"/>
      <c r="W189" s="1"/>
      <c r="X189" s="115" t="s">
        <v>85</v>
      </c>
      <c r="Y189" s="115"/>
      <c r="Z189" s="115"/>
      <c r="AA189" s="12"/>
      <c r="AB189" s="143">
        <f ca="1">_xlfn.DAYS(AB158,AB157)</f>
        <v>49</v>
      </c>
      <c r="AC189" s="37"/>
      <c r="AD189" s="37"/>
      <c r="AE189" s="37"/>
      <c r="AF189" s="538"/>
      <c r="AH189" s="2"/>
      <c r="AI189" s="5"/>
      <c r="AJ189" s="5"/>
      <c r="AK189" s="36"/>
      <c r="AL189" s="36"/>
      <c r="AM189" s="114" t="s">
        <v>86</v>
      </c>
      <c r="AN189" s="143">
        <f>_xlfn.DAYS(AN158,AN157)</f>
        <v>266</v>
      </c>
      <c r="AW189" s="24"/>
      <c r="BE189" s="24"/>
      <c r="BG189" s="380"/>
    </row>
    <row r="190" spans="6:59" ht="15" thickBot="1" x14ac:dyDescent="0.35">
      <c r="F190" s="21"/>
      <c r="G190" s="21"/>
      <c r="H190" s="21"/>
      <c r="K190" s="1"/>
      <c r="L190" s="78"/>
      <c r="M190" s="78"/>
      <c r="N190" s="1"/>
      <c r="O190" s="4"/>
      <c r="U190" s="4"/>
      <c r="V190" s="1"/>
      <c r="W190" s="1"/>
      <c r="X190" s="115" t="s">
        <v>87</v>
      </c>
      <c r="Y190" s="113"/>
      <c r="Z190" s="114"/>
      <c r="AA190" s="113"/>
      <c r="AB190" s="149">
        <f>PRODUCT(AB188,100,1/AA187)</f>
        <v>1.9128113879003574</v>
      </c>
      <c r="AC190" s="71"/>
      <c r="AD190" s="71"/>
      <c r="AE190" s="71"/>
      <c r="AF190" s="539"/>
      <c r="AH190" s="414"/>
      <c r="AI190" s="70"/>
      <c r="AJ190" s="70"/>
      <c r="AK190" s="36"/>
      <c r="AL190" s="36"/>
      <c r="AM190" s="114" t="s">
        <v>88</v>
      </c>
      <c r="AN190" s="149">
        <f ca="1">PRODUCT(AN188,100,1/AN187)</f>
        <v>16.859430604982204</v>
      </c>
      <c r="AW190" s="24"/>
      <c r="BE190" s="24"/>
      <c r="BG190" s="380"/>
    </row>
    <row r="191" spans="6:59" ht="37.799999999999997" customHeight="1" thickTop="1" thickBot="1" x14ac:dyDescent="0.35">
      <c r="F191" s="21"/>
      <c r="G191" s="21"/>
      <c r="H191" s="21"/>
      <c r="K191" s="1"/>
      <c r="L191" s="78"/>
      <c r="M191" s="78"/>
      <c r="N191" s="1"/>
      <c r="O191" s="4"/>
      <c r="U191" s="4"/>
      <c r="V191" s="1"/>
      <c r="W191" s="1"/>
      <c r="X191" s="150" t="s">
        <v>89</v>
      </c>
      <c r="Y191" s="147"/>
      <c r="Z191" s="147"/>
      <c r="AA191" s="148"/>
      <c r="AB191" s="151">
        <f ca="1">PRODUCT(AB190,365,1/AB189)</f>
        <v>14.248492991502662</v>
      </c>
      <c r="AC191"/>
      <c r="AD191"/>
      <c r="AE191"/>
      <c r="AF191" s="538"/>
      <c r="AH191" s="2"/>
      <c r="AI191" s="5"/>
      <c r="AJ191" s="5"/>
      <c r="AK191" s="147"/>
      <c r="AL191" s="147"/>
      <c r="AM191" s="267" t="s">
        <v>90</v>
      </c>
      <c r="AN191" s="373">
        <f ca="1">PRODUCT(AN190,365,1/AN189)</f>
        <v>23.134181093302647</v>
      </c>
      <c r="AV191" s="21"/>
      <c r="AW191" s="286"/>
      <c r="BE191" s="24"/>
    </row>
    <row r="192" spans="6:59" ht="15" thickTop="1" x14ac:dyDescent="0.3">
      <c r="F192" s="223"/>
      <c r="G192" s="22"/>
      <c r="H192" s="22"/>
      <c r="BE192" s="24"/>
    </row>
    <row r="193" spans="2:57" x14ac:dyDescent="0.3">
      <c r="F193" s="223"/>
      <c r="G193" s="22"/>
      <c r="H193" s="22"/>
      <c r="BE193" s="24"/>
    </row>
    <row r="194" spans="2:57" ht="15" thickBot="1" x14ac:dyDescent="0.35">
      <c r="F194" s="223"/>
      <c r="G194" s="22"/>
      <c r="H194" s="22"/>
      <c r="BE194" s="24"/>
    </row>
    <row r="195" spans="2:57" ht="15" customHeight="1" thickTop="1" x14ac:dyDescent="0.3">
      <c r="F195" s="45" t="s">
        <v>143</v>
      </c>
      <c r="G195" s="25"/>
      <c r="H195" s="25" t="s">
        <v>144</v>
      </c>
      <c r="I195" s="896" t="s">
        <v>145</v>
      </c>
      <c r="J195" s="814"/>
      <c r="K195" s="814"/>
      <c r="L195" s="897"/>
      <c r="M195" s="164"/>
      <c r="N195" s="165"/>
      <c r="O195" s="166" t="s">
        <v>3</v>
      </c>
      <c r="P195" s="471"/>
      <c r="Q195" s="502"/>
      <c r="R195" s="489"/>
      <c r="S195" s="471"/>
      <c r="T195" s="489"/>
      <c r="U195" s="167"/>
      <c r="V195" s="168"/>
      <c r="W195" s="93"/>
      <c r="X195" s="892" t="s">
        <v>161</v>
      </c>
      <c r="Y195" s="893"/>
      <c r="Z195" s="323"/>
      <c r="AA195" s="324" t="s">
        <v>5</v>
      </c>
      <c r="AB195" s="439">
        <v>45680</v>
      </c>
      <c r="AH195" s="167"/>
      <c r="AI195" s="168"/>
      <c r="AJ195" s="93"/>
      <c r="AK195" s="892" t="s">
        <v>161</v>
      </c>
      <c r="AL195" s="893"/>
      <c r="AM195" s="326"/>
      <c r="AN195" s="256">
        <f>SUM(K200)</f>
        <v>45680</v>
      </c>
      <c r="AO195" s="403"/>
      <c r="AP195" s="403"/>
      <c r="AQ195" s="403"/>
      <c r="AV195" s="403"/>
      <c r="AW195" s="403"/>
      <c r="AX195" s="403"/>
      <c r="AY195" s="403"/>
      <c r="AZ195" s="403"/>
      <c r="BA195" s="403"/>
      <c r="BE195" s="24"/>
    </row>
    <row r="196" spans="2:57" ht="15" customHeight="1" thickBot="1" x14ac:dyDescent="0.35">
      <c r="F196" s="56" t="s">
        <v>98</v>
      </c>
      <c r="G196" s="27" t="s">
        <v>142</v>
      </c>
      <c r="H196" s="27"/>
      <c r="I196" s="898"/>
      <c r="J196" s="899"/>
      <c r="K196" s="899"/>
      <c r="L196" s="900"/>
      <c r="M196" s="115"/>
      <c r="N196" s="171"/>
      <c r="O196" s="172" t="s">
        <v>6</v>
      </c>
      <c r="P196" s="472"/>
      <c r="Q196" s="503"/>
      <c r="R196" s="490"/>
      <c r="S196" s="472"/>
      <c r="T196" s="490"/>
      <c r="U196" s="173"/>
      <c r="V196" s="174"/>
      <c r="W196" s="175"/>
      <c r="X196" s="894"/>
      <c r="Y196" s="895"/>
      <c r="Z196" s="209"/>
      <c r="AA196" s="210" t="s">
        <v>7</v>
      </c>
      <c r="AB196" s="211">
        <f ca="1">$C$4</f>
        <v>45702</v>
      </c>
      <c r="AH196" s="173"/>
      <c r="AI196" s="174"/>
      <c r="AJ196" s="175"/>
      <c r="AK196" s="894"/>
      <c r="AL196" s="895"/>
      <c r="AM196" s="255"/>
      <c r="AN196" s="257">
        <f>SUM(J200)</f>
        <v>45919</v>
      </c>
      <c r="AO196" s="58"/>
      <c r="AP196" s="58"/>
      <c r="AQ196" s="58"/>
      <c r="AU196" s="226"/>
      <c r="AV196" s="70"/>
      <c r="AX196" s="414"/>
      <c r="AY196" s="228"/>
      <c r="AZ196" s="415"/>
      <c r="BA196" s="416"/>
      <c r="BE196" s="24"/>
    </row>
    <row r="197" spans="2:57" ht="57.6" customHeight="1" thickTop="1" thickBot="1" x14ac:dyDescent="0.4">
      <c r="B197" s="1" t="s">
        <v>8</v>
      </c>
      <c r="F197" s="935" t="s">
        <v>9</v>
      </c>
      <c r="G197" s="906" t="s">
        <v>10</v>
      </c>
      <c r="H197" s="398" t="s">
        <v>11</v>
      </c>
      <c r="I197" s="906" t="s">
        <v>12</v>
      </c>
      <c r="J197" s="906" t="s">
        <v>13</v>
      </c>
      <c r="K197" s="906" t="s">
        <v>14</v>
      </c>
      <c r="L197" s="906" t="s">
        <v>15</v>
      </c>
      <c r="M197" s="906" t="s">
        <v>106</v>
      </c>
      <c r="N197" s="398" t="s">
        <v>17</v>
      </c>
      <c r="O197" s="908" t="s">
        <v>18</v>
      </c>
      <c r="P197" s="904" t="s">
        <v>165</v>
      </c>
      <c r="Q197" s="504"/>
      <c r="R197" s="484"/>
      <c r="S197" s="479" t="s">
        <v>164</v>
      </c>
      <c r="T197" s="484"/>
      <c r="U197" s="182"/>
      <c r="V197" s="407" t="s">
        <v>19</v>
      </c>
      <c r="W197" s="407" t="s">
        <v>20</v>
      </c>
      <c r="X197" s="408" t="s">
        <v>16</v>
      </c>
      <c r="Y197" s="407" t="s">
        <v>21</v>
      </c>
      <c r="Z197" s="402" t="s">
        <v>22</v>
      </c>
      <c r="AA197" s="402" t="s">
        <v>23</v>
      </c>
      <c r="AB197" s="409" t="s">
        <v>24</v>
      </c>
      <c r="AC197" s="403"/>
      <c r="AD197" s="403"/>
      <c r="AE197" s="403"/>
      <c r="AF197" s="541"/>
      <c r="AH197" s="99"/>
      <c r="AI197" s="401" t="s">
        <v>25</v>
      </c>
      <c r="AJ197" s="887" t="s">
        <v>20</v>
      </c>
      <c r="AK197" s="886" t="s">
        <v>16</v>
      </c>
      <c r="AL197" s="338" t="s">
        <v>26</v>
      </c>
      <c r="AM197" s="401" t="s">
        <v>27</v>
      </c>
      <c r="AN197" s="879" t="s">
        <v>28</v>
      </c>
      <c r="AO197" s="888"/>
      <c r="AP197" s="403"/>
      <c r="AQ197" s="403"/>
      <c r="BE197" s="24"/>
    </row>
    <row r="198" spans="2:57" ht="58.8" customHeight="1" thickTop="1" thickBot="1" x14ac:dyDescent="0.35">
      <c r="B198" s="89" t="s">
        <v>29</v>
      </c>
      <c r="F198" s="936"/>
      <c r="G198" s="910"/>
      <c r="H198" s="399"/>
      <c r="I198" s="910"/>
      <c r="J198" s="910"/>
      <c r="K198" s="910"/>
      <c r="L198" s="910"/>
      <c r="M198" s="907"/>
      <c r="N198" s="64" t="s">
        <v>30</v>
      </c>
      <c r="O198" s="909"/>
      <c r="P198" s="905"/>
      <c r="Q198" s="504"/>
      <c r="R198" s="484"/>
      <c r="S198" s="480"/>
      <c r="T198" s="484"/>
      <c r="U198" s="183"/>
      <c r="V198" s="199" t="s">
        <v>31</v>
      </c>
      <c r="W198" s="402"/>
      <c r="X198" s="406"/>
      <c r="Y198" s="199" t="s">
        <v>32</v>
      </c>
      <c r="Z198" s="120" t="s">
        <v>33</v>
      </c>
      <c r="AA198" s="402"/>
      <c r="AB198" s="409"/>
      <c r="AC198" s="403"/>
      <c r="AD198" s="403"/>
      <c r="AE198" s="403"/>
      <c r="AF198" s="541"/>
      <c r="AH198" s="118"/>
      <c r="AI198" s="261" t="s">
        <v>34</v>
      </c>
      <c r="AJ198" s="869"/>
      <c r="AK198" s="882"/>
      <c r="AL198" s="199" t="s">
        <v>32</v>
      </c>
      <c r="AM198" s="120" t="s">
        <v>33</v>
      </c>
      <c r="AN198" s="880"/>
      <c r="AO198" s="888"/>
      <c r="AP198" s="403"/>
      <c r="AQ198" s="403"/>
      <c r="AR198" s="370"/>
      <c r="AS198" s="467">
        <v>46044</v>
      </c>
      <c r="AT198" s="372"/>
      <c r="AU198" s="367" t="s">
        <v>35</v>
      </c>
      <c r="AV198" s="400" t="s">
        <v>36</v>
      </c>
      <c r="AW198" s="400" t="s">
        <v>37</v>
      </c>
      <c r="AX198" s="400" t="s">
        <v>38</v>
      </c>
      <c r="AY198" s="400" t="s">
        <v>39</v>
      </c>
      <c r="AZ198" s="400" t="s">
        <v>40</v>
      </c>
      <c r="BA198" s="218" t="s">
        <v>41</v>
      </c>
      <c r="BE198" s="24"/>
    </row>
    <row r="199" spans="2:57" ht="15" customHeight="1" thickBot="1" x14ac:dyDescent="0.35">
      <c r="B199" s="87" t="s">
        <v>42</v>
      </c>
      <c r="C199" s="376">
        <f>_xll.EPF.Yahoo.Price("f")</f>
        <v>9.4450000000000003</v>
      </c>
      <c r="D199" s="376"/>
      <c r="E199" s="18" t="s">
        <v>107</v>
      </c>
      <c r="F199" s="47" t="s">
        <v>43</v>
      </c>
      <c r="G199" s="412" t="s">
        <v>44</v>
      </c>
      <c r="H199" s="412" t="s">
        <v>45</v>
      </c>
      <c r="I199" s="46"/>
      <c r="J199" s="412"/>
      <c r="K199" s="51">
        <v>45681</v>
      </c>
      <c r="L199" s="412" t="s">
        <v>47</v>
      </c>
      <c r="M199" s="38">
        <v>4000</v>
      </c>
      <c r="N199" s="466">
        <v>10.5</v>
      </c>
      <c r="O199" s="185">
        <f>IF(L199="Buy",M199*N199*-1,M199*N199)</f>
        <v>-42000</v>
      </c>
      <c r="P199" s="482"/>
      <c r="Q199" s="506"/>
      <c r="R199" s="492"/>
      <c r="S199" s="482"/>
      <c r="T199" s="492"/>
      <c r="U199" s="184"/>
      <c r="V199" s="211">
        <f t="shared" ref="V199:V206" ca="1" si="50">$C$4</f>
        <v>45702</v>
      </c>
      <c r="W199" s="125" t="str">
        <f t="shared" ref="W199:W206" si="51">IF(L199="Buy","Sell","Buy")</f>
        <v>Sell</v>
      </c>
      <c r="X199" s="126">
        <f t="shared" ref="X199:X206" si="52">SUM(M199)</f>
        <v>4000</v>
      </c>
      <c r="Y199" s="197">
        <f>SUM(C199)</f>
        <v>9.4450000000000003</v>
      </c>
      <c r="Z199" s="104">
        <f>IF(W199="Buy",X199*Y199*-1,X199*Y199)</f>
        <v>37780</v>
      </c>
      <c r="AA199" s="104">
        <f t="shared" ref="AA199:AA206" si="53">IF(H199="Yes",O199*-1,0)</f>
        <v>42000</v>
      </c>
      <c r="AB199" s="138">
        <f t="shared" ref="AB199:AB206" si="54">SUM(O199,Z199)</f>
        <v>-4220</v>
      </c>
      <c r="AC199" s="523"/>
      <c r="AD199" s="69"/>
      <c r="AE199" s="69"/>
      <c r="AF199" s="542"/>
      <c r="AH199" s="178"/>
      <c r="AI199" s="125">
        <f>SUM(J206)</f>
        <v>45919</v>
      </c>
      <c r="AJ199" s="125" t="str">
        <f>IF(L199="Buy","Sell","Buy")</f>
        <v>Sell</v>
      </c>
      <c r="AK199" s="195">
        <f>SUM(M199)</f>
        <v>4000</v>
      </c>
      <c r="AL199" s="200">
        <f>C199</f>
        <v>9.4450000000000003</v>
      </c>
      <c r="AM199" s="104">
        <f>IF(AJ199="Buy",AK199*AL199*-1,AK199*AL199)</f>
        <v>37780</v>
      </c>
      <c r="AN199" s="138">
        <f>SUM(O199,AM199)</f>
        <v>-4220</v>
      </c>
      <c r="AO199" s="58"/>
      <c r="AP199" s="58"/>
      <c r="AQ199" s="58"/>
      <c r="AR199" s="368" t="s">
        <v>5</v>
      </c>
      <c r="AS199" s="369"/>
      <c r="AT199" s="369"/>
      <c r="AU199" s="214">
        <f>SUM(AB195)</f>
        <v>45680</v>
      </c>
      <c r="AV199" s="858">
        <f>SUM(AA225)</f>
        <v>44640</v>
      </c>
      <c r="AW199" s="213"/>
      <c r="AX199" s="861">
        <f ca="1">SUM(AW201,-AW200)</f>
        <v>6240</v>
      </c>
      <c r="AY199" s="219"/>
      <c r="AZ199" s="872">
        <f ca="1">SUM(AY201,-1*AY200)</f>
        <v>217</v>
      </c>
      <c r="BA199" s="911">
        <f ca="1">PRODUCT(30,1/AZ199,AX199)</f>
        <v>862.67281105990787</v>
      </c>
      <c r="BE199" s="24"/>
    </row>
    <row r="200" spans="2:57" ht="15.6" customHeight="1" thickTop="1" thickBot="1" x14ac:dyDescent="0.35">
      <c r="B200" s="88" t="s">
        <v>162</v>
      </c>
      <c r="C200" s="79">
        <f>_xll.EPF.Yahoo.Price("F250919P00009000")</f>
        <v>0.77</v>
      </c>
      <c r="D200" s="79"/>
      <c r="E200" s="18" t="s">
        <v>107</v>
      </c>
      <c r="F200" s="96" t="s">
        <v>43</v>
      </c>
      <c r="G200" s="97" t="s">
        <v>49</v>
      </c>
      <c r="H200" s="97" t="s">
        <v>45</v>
      </c>
      <c r="I200" s="9">
        <v>9</v>
      </c>
      <c r="J200" s="10">
        <v>45919</v>
      </c>
      <c r="K200" s="524">
        <v>45680</v>
      </c>
      <c r="L200" s="8" t="s">
        <v>47</v>
      </c>
      <c r="M200" s="29">
        <v>40</v>
      </c>
      <c r="N200" s="30">
        <v>0.66</v>
      </c>
      <c r="O200" s="102">
        <f t="shared" ref="O200" si="55">IF(L200="Buy",M200*N200*-1*100,M200*N200*100)</f>
        <v>-2640</v>
      </c>
      <c r="P200" s="131"/>
      <c r="Q200" s="136"/>
      <c r="R200" s="487"/>
      <c r="S200" s="131"/>
      <c r="T200" s="487"/>
      <c r="U200" s="16"/>
      <c r="V200" s="385">
        <v>46780</v>
      </c>
      <c r="W200" s="127" t="str">
        <f t="shared" si="51"/>
        <v>Sell</v>
      </c>
      <c r="X200" s="128">
        <f t="shared" si="52"/>
        <v>40</v>
      </c>
      <c r="Y200" s="394">
        <v>0.62</v>
      </c>
      <c r="Z200" s="105">
        <f t="shared" ref="Z200" si="56">IF(W200="Buy",X200*Y200*-1*100,X200*Y200*100)</f>
        <v>2480</v>
      </c>
      <c r="AA200" s="106">
        <f t="shared" si="53"/>
        <v>2640</v>
      </c>
      <c r="AB200" s="525">
        <f t="shared" si="54"/>
        <v>-160</v>
      </c>
      <c r="AC200" s="37"/>
      <c r="AD200" s="37"/>
      <c r="AE200" s="37"/>
      <c r="AF200" s="538"/>
      <c r="AH200" s="16"/>
      <c r="AI200" s="127">
        <f>SUM(V200)</f>
        <v>46780</v>
      </c>
      <c r="AJ200" s="127" t="str">
        <f>IF(L200="Buy","Sell","Buy")</f>
        <v>Sell</v>
      </c>
      <c r="AK200" s="201">
        <f>SUM(M200)</f>
        <v>40</v>
      </c>
      <c r="AL200" s="394">
        <v>0.62</v>
      </c>
      <c r="AM200" s="106">
        <f>IF(AJ200="Buy",AK200*AL200*-1*100,AK200*AL200*100)</f>
        <v>2480</v>
      </c>
      <c r="AN200" s="139">
        <f>SUM(O200,AM200)</f>
        <v>-160</v>
      </c>
      <c r="AO200" s="58"/>
      <c r="AP200" s="58"/>
      <c r="AQ200" s="58"/>
      <c r="AR200" s="212" t="s">
        <v>7</v>
      </c>
      <c r="AS200" s="213"/>
      <c r="AT200" s="213"/>
      <c r="AU200" s="214">
        <f ca="1">SUM(AB196)</f>
        <v>45702</v>
      </c>
      <c r="AV200" s="859"/>
      <c r="AW200" s="220">
        <f>SUM(AB226)</f>
        <v>966</v>
      </c>
      <c r="AX200" s="862"/>
      <c r="AY200" s="195">
        <f ca="1">SUM(AB227)</f>
        <v>22</v>
      </c>
      <c r="AZ200" s="873"/>
      <c r="BA200" s="912"/>
    </row>
    <row r="201" spans="2:57" ht="15.6" customHeight="1" thickTop="1" thickBot="1" x14ac:dyDescent="0.35">
      <c r="B201" s="441" t="s">
        <v>146</v>
      </c>
      <c r="C201" s="442" t="s">
        <v>147</v>
      </c>
      <c r="D201" s="442"/>
      <c r="E201" s="18" t="s">
        <v>109</v>
      </c>
      <c r="F201" s="427" t="s">
        <v>43</v>
      </c>
      <c r="G201" s="428" t="s">
        <v>49</v>
      </c>
      <c r="H201" s="428" t="s">
        <v>51</v>
      </c>
      <c r="I201" s="429">
        <v>9.5</v>
      </c>
      <c r="J201" s="430">
        <v>45674</v>
      </c>
      <c r="K201" s="430">
        <v>45670</v>
      </c>
      <c r="L201" s="431" t="s">
        <v>63</v>
      </c>
      <c r="M201" s="431">
        <v>30</v>
      </c>
      <c r="N201" s="458">
        <v>0.1</v>
      </c>
      <c r="O201" s="432">
        <f>IF(L201="Buy",M201*N201*-1*100,M201*N201*100)</f>
        <v>300</v>
      </c>
      <c r="P201" s="131"/>
      <c r="Q201" s="136"/>
      <c r="R201" s="487"/>
      <c r="S201" s="131"/>
      <c r="T201" s="487"/>
      <c r="U201" s="16"/>
      <c r="V201" s="433">
        <f t="shared" ca="1" si="50"/>
        <v>45702</v>
      </c>
      <c r="W201" s="434" t="str">
        <f t="shared" si="51"/>
        <v>Buy</v>
      </c>
      <c r="X201" s="435">
        <f t="shared" si="52"/>
        <v>30</v>
      </c>
      <c r="Y201" s="337">
        <v>0.05</v>
      </c>
      <c r="Z201" s="440">
        <f t="shared" ref="Z201:Z202" si="57">IF(W201="Buy",X201*Y201*-1*100,X201*Y201*100)</f>
        <v>-150</v>
      </c>
      <c r="AA201" s="137">
        <f t="shared" si="53"/>
        <v>0</v>
      </c>
      <c r="AB201" s="436">
        <f t="shared" si="54"/>
        <v>150</v>
      </c>
      <c r="AC201" s="443" t="s">
        <v>148</v>
      </c>
      <c r="AD201" s="37"/>
      <c r="AE201" s="37"/>
      <c r="AF201" s="538"/>
      <c r="AH201" s="16"/>
      <c r="AI201" s="15"/>
      <c r="AJ201" s="12"/>
      <c r="AK201" s="152"/>
      <c r="AL201" s="77"/>
      <c r="AM201" s="17"/>
      <c r="AN201" s="436">
        <f>AB201</f>
        <v>150</v>
      </c>
      <c r="AO201" s="58"/>
      <c r="AP201" s="58"/>
      <c r="AQ201" s="58"/>
      <c r="AR201" s="215" t="s">
        <v>50</v>
      </c>
      <c r="AS201" s="216"/>
      <c r="AT201" s="216"/>
      <c r="AU201" s="214">
        <f>SUM(AN196)</f>
        <v>45919</v>
      </c>
      <c r="AV201" s="860"/>
      <c r="AW201" s="221">
        <f ca="1">SUM(AN226)</f>
        <v>7206</v>
      </c>
      <c r="AX201" s="863"/>
      <c r="AY201" s="222">
        <f>SUM(AN227)</f>
        <v>239</v>
      </c>
      <c r="AZ201" s="874"/>
      <c r="BA201" s="913"/>
    </row>
    <row r="202" spans="2:57" ht="15.6" thickTop="1" thickBot="1" x14ac:dyDescent="0.35">
      <c r="B202" s="441" t="s">
        <v>146</v>
      </c>
      <c r="C202" s="442" t="s">
        <v>147</v>
      </c>
      <c r="D202" s="442"/>
      <c r="E202" s="18" t="s">
        <v>109</v>
      </c>
      <c r="F202" s="427" t="s">
        <v>43</v>
      </c>
      <c r="G202" s="428" t="s">
        <v>49</v>
      </c>
      <c r="H202" s="428" t="s">
        <v>51</v>
      </c>
      <c r="I202" s="429">
        <v>9.82</v>
      </c>
      <c r="J202" s="430">
        <v>45674</v>
      </c>
      <c r="K202" s="430">
        <v>45671</v>
      </c>
      <c r="L202" s="431" t="s">
        <v>63</v>
      </c>
      <c r="M202" s="431">
        <v>40</v>
      </c>
      <c r="N202" s="458">
        <v>0.17</v>
      </c>
      <c r="O202" s="432">
        <f>IF(L202="Buy",M202*N202*-1*100,M202*N202*100)</f>
        <v>680.00000000000011</v>
      </c>
      <c r="P202" s="131"/>
      <c r="Q202" s="136"/>
      <c r="R202" s="487"/>
      <c r="S202" s="131"/>
      <c r="T202" s="487"/>
      <c r="U202" s="16"/>
      <c r="V202" s="433">
        <f t="shared" ca="1" si="50"/>
        <v>45702</v>
      </c>
      <c r="W202" s="434" t="str">
        <f t="shared" si="51"/>
        <v>Buy</v>
      </c>
      <c r="X202" s="435">
        <f t="shared" si="52"/>
        <v>40</v>
      </c>
      <c r="Y202" s="337">
        <v>0.05</v>
      </c>
      <c r="Z202" s="440">
        <f t="shared" si="57"/>
        <v>-200</v>
      </c>
      <c r="AA202" s="137">
        <f t="shared" si="53"/>
        <v>0</v>
      </c>
      <c r="AB202" s="436">
        <f t="shared" si="54"/>
        <v>480.00000000000011</v>
      </c>
      <c r="AC202" s="443" t="s">
        <v>148</v>
      </c>
      <c r="AH202" s="13"/>
      <c r="AI202" s="12"/>
      <c r="AJ202" s="12"/>
      <c r="AK202" s="73"/>
      <c r="AL202" s="12"/>
      <c r="AM202" s="12"/>
      <c r="AN202" s="436">
        <f>AB202</f>
        <v>480.00000000000011</v>
      </c>
      <c r="AO202" s="58"/>
      <c r="AP202" s="58"/>
      <c r="AQ202" s="58"/>
    </row>
    <row r="203" spans="2:57" ht="15" customHeight="1" thickTop="1" thickBot="1" x14ac:dyDescent="0.35">
      <c r="B203" s="441" t="s">
        <v>149</v>
      </c>
      <c r="C203" s="442" t="s">
        <v>147</v>
      </c>
      <c r="D203" s="442"/>
      <c r="E203" s="18" t="s">
        <v>109</v>
      </c>
      <c r="F203" s="427" t="s">
        <v>43</v>
      </c>
      <c r="G203" s="428" t="s">
        <v>49</v>
      </c>
      <c r="H203" s="428" t="s">
        <v>51</v>
      </c>
      <c r="I203" s="429">
        <v>10</v>
      </c>
      <c r="J203" s="430">
        <v>45674</v>
      </c>
      <c r="K203" s="430">
        <v>45672</v>
      </c>
      <c r="L203" s="431" t="s">
        <v>63</v>
      </c>
      <c r="M203" s="431">
        <v>40</v>
      </c>
      <c r="N203" s="458">
        <v>0.11</v>
      </c>
      <c r="O203" s="432">
        <f>IF(L203="Buy",M203*N203*-1*100,M203*N203*100)</f>
        <v>440.00000000000006</v>
      </c>
      <c r="P203" s="450"/>
      <c r="Q203" s="451"/>
      <c r="R203" s="496"/>
      <c r="S203" s="450"/>
      <c r="T203" s="496"/>
      <c r="U203" s="81"/>
      <c r="V203" s="433">
        <f t="shared" ca="1" si="50"/>
        <v>45702</v>
      </c>
      <c r="W203" s="434" t="str">
        <f t="shared" si="51"/>
        <v>Buy</v>
      </c>
      <c r="X203" s="435">
        <f t="shared" si="52"/>
        <v>40</v>
      </c>
      <c r="Y203" s="337">
        <v>0</v>
      </c>
      <c r="Z203" s="440">
        <f t="shared" ref="Z203" si="58">IF(W203="Buy",X203*Y203*-1*100,X203*Y203*100)</f>
        <v>0</v>
      </c>
      <c r="AA203" s="137">
        <f t="shared" si="53"/>
        <v>0</v>
      </c>
      <c r="AB203" s="436">
        <f t="shared" si="54"/>
        <v>440.00000000000006</v>
      </c>
      <c r="AC203" s="443" t="s">
        <v>148</v>
      </c>
      <c r="AD203" s="37"/>
      <c r="AE203" s="37"/>
      <c r="AF203" s="538"/>
      <c r="AH203" s="13"/>
      <c r="AI203" s="12"/>
      <c r="AJ203" s="12"/>
      <c r="AK203" s="73"/>
      <c r="AL203" s="12"/>
      <c r="AM203" s="12"/>
      <c r="AN203" s="436">
        <f>AB203</f>
        <v>440.00000000000006</v>
      </c>
      <c r="AO203" s="58"/>
      <c r="AP203" s="58"/>
      <c r="AQ203" s="58"/>
      <c r="AR203" s="298" t="s">
        <v>52</v>
      </c>
      <c r="AS203" s="295"/>
      <c r="AT203" s="295"/>
      <c r="AU203" s="295"/>
      <c r="AV203" s="295"/>
      <c r="AW203" s="297"/>
      <c r="AX203" s="297"/>
      <c r="AY203" s="297"/>
      <c r="AZ203" s="297"/>
    </row>
    <row r="204" spans="2:57" ht="14.4" customHeight="1" thickTop="1" thickBot="1" x14ac:dyDescent="0.35">
      <c r="B204" s="441" t="s">
        <v>159</v>
      </c>
      <c r="C204" s="442" t="s">
        <v>147</v>
      </c>
      <c r="D204" s="442"/>
      <c r="E204" s="18" t="s">
        <v>109</v>
      </c>
      <c r="F204" s="427" t="s">
        <v>43</v>
      </c>
      <c r="G204" s="428" t="s">
        <v>49</v>
      </c>
      <c r="H204" s="428" t="s">
        <v>51</v>
      </c>
      <c r="I204" s="429">
        <v>10.5</v>
      </c>
      <c r="J204" s="430">
        <v>45681</v>
      </c>
      <c r="K204" s="430">
        <v>45678</v>
      </c>
      <c r="L204" s="431" t="s">
        <v>63</v>
      </c>
      <c r="M204" s="431">
        <v>4</v>
      </c>
      <c r="N204" s="458">
        <v>0.28000000000000003</v>
      </c>
      <c r="O204" s="432">
        <f>IF(L204="Buy",M204*N204*-1*100,M204*N204*100)</f>
        <v>112.00000000000001</v>
      </c>
      <c r="P204" s="450"/>
      <c r="Q204" s="451"/>
      <c r="R204" s="496"/>
      <c r="S204" s="450"/>
      <c r="T204" s="496"/>
      <c r="U204" s="81"/>
      <c r="V204" s="433">
        <f t="shared" ca="1" si="50"/>
        <v>45702</v>
      </c>
      <c r="W204" s="434" t="str">
        <f t="shared" si="51"/>
        <v>Buy</v>
      </c>
      <c r="X204" s="435">
        <f t="shared" si="52"/>
        <v>4</v>
      </c>
      <c r="Y204" s="465">
        <v>0</v>
      </c>
      <c r="Z204" s="440">
        <f t="shared" ref="Z204" si="59">IF(W204="Buy",X204*Y204*-1*100,X204*Y204*100)</f>
        <v>0</v>
      </c>
      <c r="AA204" s="137">
        <f t="shared" si="53"/>
        <v>0</v>
      </c>
      <c r="AB204" s="436">
        <f t="shared" si="54"/>
        <v>112.00000000000001</v>
      </c>
      <c r="AC204" s="443" t="s">
        <v>148</v>
      </c>
      <c r="AD204" s="37"/>
      <c r="AE204" s="37"/>
      <c r="AF204" s="538"/>
      <c r="AH204" s="13"/>
      <c r="AI204" s="13"/>
      <c r="AJ204" s="12"/>
      <c r="AK204" s="12"/>
      <c r="AL204" s="12"/>
      <c r="AM204" s="12"/>
      <c r="AN204" s="436">
        <f>AB204</f>
        <v>112.00000000000001</v>
      </c>
      <c r="AO204" s="58"/>
      <c r="AP204" s="58"/>
      <c r="AQ204" s="58"/>
      <c r="AR204" s="284" t="s">
        <v>53</v>
      </c>
      <c r="AS204" s="283"/>
      <c r="AT204" s="283"/>
      <c r="AU204" s="287"/>
      <c r="AV204" s="289">
        <f>SUM(AU199)</f>
        <v>45680</v>
      </c>
    </row>
    <row r="205" spans="2:57" ht="15.6" thickTop="1" thickBot="1" x14ac:dyDescent="0.35">
      <c r="B205" s="441" t="s">
        <v>159</v>
      </c>
      <c r="C205" s="442" t="s">
        <v>147</v>
      </c>
      <c r="D205" s="442"/>
      <c r="E205" s="18" t="s">
        <v>109</v>
      </c>
      <c r="F205" s="427" t="s">
        <v>43</v>
      </c>
      <c r="G205" s="428" t="s">
        <v>49</v>
      </c>
      <c r="H205" s="428" t="s">
        <v>51</v>
      </c>
      <c r="I205" s="429">
        <v>10.5</v>
      </c>
      <c r="J205" s="430">
        <v>45681</v>
      </c>
      <c r="K205" s="430">
        <v>45678</v>
      </c>
      <c r="L205" s="431" t="s">
        <v>63</v>
      </c>
      <c r="M205" s="431">
        <v>36</v>
      </c>
      <c r="N205" s="458">
        <v>0.19</v>
      </c>
      <c r="O205" s="432">
        <f>IF(L205="Buy",M205*N205*-1*100,M205*N205*100)</f>
        <v>684</v>
      </c>
      <c r="P205" s="450"/>
      <c r="Q205" s="451"/>
      <c r="R205" s="496"/>
      <c r="S205" s="450"/>
      <c r="T205" s="496"/>
      <c r="U205" s="81"/>
      <c r="V205" s="433">
        <f t="shared" ca="1" si="50"/>
        <v>45702</v>
      </c>
      <c r="W205" s="434" t="str">
        <f t="shared" si="51"/>
        <v>Buy</v>
      </c>
      <c r="X205" s="435">
        <f t="shared" si="52"/>
        <v>36</v>
      </c>
      <c r="Y205" s="465">
        <v>0</v>
      </c>
      <c r="Z205" s="440">
        <f t="shared" ref="Z205:Z206" si="60">IF(W205="Buy",X205*Y205*-1*100,X205*Y205*100)</f>
        <v>0</v>
      </c>
      <c r="AA205" s="137">
        <f t="shared" si="53"/>
        <v>0</v>
      </c>
      <c r="AB205" s="436">
        <f t="shared" si="54"/>
        <v>684</v>
      </c>
      <c r="AC205" s="443" t="s">
        <v>148</v>
      </c>
      <c r="AD205" s="37"/>
      <c r="AE205" s="37"/>
      <c r="AF205" s="538"/>
      <c r="AH205" s="13"/>
      <c r="AI205" s="135"/>
      <c r="AJ205" s="12"/>
      <c r="AK205" s="152"/>
      <c r="AL205" s="77"/>
      <c r="AM205" s="17"/>
      <c r="AN205" s="436">
        <f>AB205</f>
        <v>684</v>
      </c>
      <c r="AO205" s="58"/>
      <c r="AP205" s="58"/>
      <c r="AQ205" s="58"/>
      <c r="AR205" s="284" t="s">
        <v>55</v>
      </c>
      <c r="AS205" s="283"/>
      <c r="AT205" s="283"/>
      <c r="AU205" s="287"/>
      <c r="AV205" s="289">
        <f>SUM(AU201)</f>
        <v>45919</v>
      </c>
    </row>
    <row r="206" spans="2:57" ht="15.6" thickTop="1" thickBot="1" x14ac:dyDescent="0.35">
      <c r="B206" s="88" t="s">
        <v>48</v>
      </c>
      <c r="C206" s="79">
        <f>_xll.EPF.Yahoo.Price("F250919P00010000")</f>
        <v>1.35</v>
      </c>
      <c r="D206" s="79"/>
      <c r="E206" s="18" t="s">
        <v>107</v>
      </c>
      <c r="F206" s="94" t="s">
        <v>43</v>
      </c>
      <c r="G206" s="49" t="s">
        <v>49</v>
      </c>
      <c r="H206" s="49" t="s">
        <v>168</v>
      </c>
      <c r="I206" s="43">
        <v>10</v>
      </c>
      <c r="J206" s="44">
        <v>45919</v>
      </c>
      <c r="K206" s="51">
        <v>45685</v>
      </c>
      <c r="L206" s="40" t="s">
        <v>47</v>
      </c>
      <c r="M206" s="41">
        <v>40</v>
      </c>
      <c r="N206" s="458">
        <v>1.1000000000000001</v>
      </c>
      <c r="O206" s="100">
        <f t="shared" ref="O206" si="61">IF(L206="Buy",M206*N206*-1*100,M206*N206*100)</f>
        <v>-4400</v>
      </c>
      <c r="P206" s="131"/>
      <c r="Q206" s="136"/>
      <c r="R206" s="487"/>
      <c r="S206" s="131"/>
      <c r="T206" s="487"/>
      <c r="U206" s="16"/>
      <c r="V206" s="211">
        <f t="shared" ca="1" si="50"/>
        <v>45702</v>
      </c>
      <c r="W206" s="125" t="str">
        <f t="shared" si="51"/>
        <v>Sell</v>
      </c>
      <c r="X206" s="126">
        <f t="shared" si="52"/>
        <v>40</v>
      </c>
      <c r="Y206" s="197">
        <f>SUM(C206)</f>
        <v>1.35</v>
      </c>
      <c r="Z206" s="103">
        <f t="shared" si="60"/>
        <v>5400</v>
      </c>
      <c r="AA206" s="104">
        <f t="shared" si="53"/>
        <v>0</v>
      </c>
      <c r="AB206" s="138">
        <f t="shared" si="54"/>
        <v>1000</v>
      </c>
      <c r="AC206" s="37"/>
      <c r="AD206" s="37"/>
      <c r="AE206" s="37"/>
      <c r="AF206" s="538"/>
      <c r="AH206" s="16"/>
      <c r="AI206" s="125">
        <f>SUM(J206)</f>
        <v>45919</v>
      </c>
      <c r="AJ206" s="125" t="str">
        <f>IF(L206="Buy","Sell","Buy")</f>
        <v>Sell</v>
      </c>
      <c r="AK206" s="195">
        <f>SUM(M206)</f>
        <v>40</v>
      </c>
      <c r="AL206" s="779">
        <f>C206</f>
        <v>1.35</v>
      </c>
      <c r="AM206" s="104">
        <f>IF(AJ206="Buy",AK206*AL206*-1*100,AK206*AL206*100)</f>
        <v>5400</v>
      </c>
      <c r="AN206" s="138">
        <f>SUM(O206,AM206)</f>
        <v>1000</v>
      </c>
      <c r="AO206" s="58"/>
      <c r="AP206" s="58"/>
      <c r="AQ206" s="58"/>
      <c r="AR206" s="282" t="s">
        <v>56</v>
      </c>
      <c r="AS206" s="282"/>
      <c r="AT206" s="282"/>
      <c r="AU206" s="291"/>
      <c r="AV206" s="292">
        <v>45698</v>
      </c>
    </row>
    <row r="207" spans="2:57" ht="15" thickTop="1" x14ac:dyDescent="0.3">
      <c r="F207" s="74"/>
      <c r="G207" s="72"/>
      <c r="H207" s="72"/>
      <c r="I207" s="14"/>
      <c r="J207" s="15"/>
      <c r="K207" s="15"/>
      <c r="L207" s="12"/>
      <c r="M207" s="12"/>
      <c r="N207" s="77"/>
      <c r="O207" s="16"/>
      <c r="P207" s="152"/>
      <c r="Q207" s="17"/>
      <c r="R207" s="486"/>
      <c r="S207" s="152"/>
      <c r="T207" s="486"/>
      <c r="U207" s="16"/>
      <c r="V207" s="82"/>
      <c r="W207" s="12"/>
      <c r="X207" s="83"/>
      <c r="Y207" s="84"/>
      <c r="Z207" s="189"/>
      <c r="AA207" s="68"/>
      <c r="AB207" s="190"/>
      <c r="AC207" s="37"/>
      <c r="AD207" s="37"/>
      <c r="AE207" s="37"/>
      <c r="AF207" s="538"/>
      <c r="AH207" s="13"/>
      <c r="AI207" s="13"/>
      <c r="AJ207" s="12"/>
      <c r="AK207" s="12"/>
      <c r="AL207" s="12"/>
      <c r="AM207" s="12"/>
      <c r="AN207" s="202"/>
      <c r="AO207" s="58"/>
      <c r="AP207" s="58"/>
      <c r="AQ207" s="58"/>
      <c r="AR207" s="284" t="s">
        <v>57</v>
      </c>
      <c r="AS207" s="283"/>
      <c r="AT207" s="283"/>
      <c r="AU207" s="287"/>
      <c r="AV207" s="289">
        <f ca="1">SUM(AU200)</f>
        <v>45702</v>
      </c>
    </row>
    <row r="208" spans="2:57" ht="15" customHeight="1" x14ac:dyDescent="0.3">
      <c r="F208" s="74"/>
      <c r="G208" s="72"/>
      <c r="H208" s="72"/>
      <c r="I208" s="14"/>
      <c r="J208" s="15"/>
      <c r="K208" s="15"/>
      <c r="L208" s="12"/>
      <c r="M208" s="12"/>
      <c r="N208" s="77"/>
      <c r="O208" s="16"/>
      <c r="P208" s="152"/>
      <c r="Q208" s="17"/>
      <c r="R208" s="486"/>
      <c r="S208" s="152"/>
      <c r="T208" s="486"/>
      <c r="U208" s="16"/>
      <c r="V208" s="15"/>
      <c r="W208" s="12"/>
      <c r="X208" s="83"/>
      <c r="Y208" s="84"/>
      <c r="Z208" s="189"/>
      <c r="AA208" s="68"/>
      <c r="AB208" s="190"/>
      <c r="AC208" s="37"/>
      <c r="AD208" s="37"/>
      <c r="AE208" s="37"/>
      <c r="AF208" s="538"/>
      <c r="AH208" s="13"/>
      <c r="AI208" s="135"/>
      <c r="AJ208" s="135"/>
      <c r="AK208" s="277"/>
      <c r="AL208" s="77"/>
      <c r="AM208" s="17"/>
      <c r="AN208" s="141"/>
      <c r="AO208" s="58"/>
      <c r="AP208" s="58"/>
      <c r="AQ208" s="58"/>
      <c r="AR208" s="284" t="s">
        <v>58</v>
      </c>
      <c r="AS208" s="283"/>
      <c r="AT208" s="283"/>
      <c r="AU208" s="287"/>
      <c r="AV208" s="290" t="s">
        <v>59</v>
      </c>
    </row>
    <row r="209" spans="2:48" ht="15" customHeight="1" thickBot="1" x14ac:dyDescent="0.35">
      <c r="B209" s="304" t="s">
        <v>163</v>
      </c>
      <c r="C209" s="65" t="s">
        <v>61</v>
      </c>
      <c r="D209" s="65"/>
      <c r="E209" s="66" t="s">
        <v>107</v>
      </c>
      <c r="F209" s="275" t="s">
        <v>43</v>
      </c>
      <c r="G209" s="97" t="s">
        <v>62</v>
      </c>
      <c r="H209" s="97" t="s">
        <v>51</v>
      </c>
      <c r="I209" s="9">
        <v>10</v>
      </c>
      <c r="J209" s="10">
        <v>45716</v>
      </c>
      <c r="K209" s="524">
        <v>45681</v>
      </c>
      <c r="L209" s="8" t="s">
        <v>63</v>
      </c>
      <c r="M209" s="8">
        <v>40</v>
      </c>
      <c r="N209" s="30">
        <v>0.65</v>
      </c>
      <c r="O209" s="765">
        <f>IF(L209="Buy",M209*N209*-1*100,M209*N209*100)</f>
        <v>2600</v>
      </c>
      <c r="P209" s="131"/>
      <c r="Q209" s="136"/>
      <c r="R209" s="487"/>
      <c r="S209" s="131"/>
      <c r="T209" s="487"/>
      <c r="U209" s="16"/>
      <c r="V209" s="385">
        <v>45700</v>
      </c>
      <c r="W209" s="127" t="str">
        <f>IF(L209="Buy","Sell","Buy")</f>
        <v>Buy</v>
      </c>
      <c r="X209" s="128">
        <f>SUM(M209)</f>
        <v>40</v>
      </c>
      <c r="Y209" s="394">
        <v>0.03</v>
      </c>
      <c r="Z209" s="105">
        <f t="shared" ref="Z209" si="62">IF(W209="Buy",X209*Y209*-1*100,X209*Y209*100)</f>
        <v>-120</v>
      </c>
      <c r="AA209" s="104">
        <f>IF(H209="Yes",O209*-1,0)</f>
        <v>0</v>
      </c>
      <c r="AB209" s="139">
        <f>SUM(O209,Z209)</f>
        <v>2480</v>
      </c>
      <c r="AC209" s="523"/>
      <c r="AD209" s="69"/>
      <c r="AE209" s="37"/>
      <c r="AF209" s="538"/>
      <c r="AH209" s="16"/>
      <c r="AI209" s="127">
        <v>45700</v>
      </c>
      <c r="AJ209" s="127" t="str">
        <f>IF(L209="Buy","Sell","Buy")</f>
        <v>Buy</v>
      </c>
      <c r="AK209" s="201">
        <f>SUM(M209)</f>
        <v>40</v>
      </c>
      <c r="AL209" s="394">
        <v>0.03</v>
      </c>
      <c r="AM209" s="104">
        <f>IF(AJ209="Buy",AK209*AL209*-1*100,AK209*AL209*100)</f>
        <v>-120</v>
      </c>
      <c r="AN209" s="138">
        <f>SUM(O209,AM209)</f>
        <v>2480</v>
      </c>
      <c r="AO209" s="58"/>
      <c r="AP209" s="58"/>
      <c r="AQ209" s="58"/>
      <c r="AR209" s="284" t="s">
        <v>64</v>
      </c>
      <c r="AS209" s="283"/>
      <c r="AT209" s="283"/>
      <c r="AU209" s="287"/>
      <c r="AV209" s="294" cm="1">
        <f t="array" aca="1" ref="AV209" ca="1">NPendingEvents(AV204,AV205,AV206,AV207,AV208)</f>
        <v>2</v>
      </c>
    </row>
    <row r="210" spans="2:48" ht="15" thickTop="1" x14ac:dyDescent="0.3">
      <c r="F210" s="74"/>
      <c r="G210" s="72"/>
      <c r="H210" s="72"/>
      <c r="I210" s="454"/>
      <c r="J210" s="15"/>
      <c r="K210" s="15"/>
      <c r="L210" s="12"/>
      <c r="M210" s="12"/>
      <c r="N210" s="77"/>
      <c r="O210" s="16"/>
      <c r="P210" s="152"/>
      <c r="Q210" s="17"/>
      <c r="R210" s="486"/>
      <c r="S210" s="152"/>
      <c r="T210" s="486"/>
      <c r="U210" s="16"/>
      <c r="V210" s="15"/>
      <c r="W210" s="12"/>
      <c r="X210" s="83"/>
      <c r="Y210" s="84"/>
      <c r="Z210" s="189"/>
      <c r="AA210" s="68"/>
      <c r="AB210" s="190"/>
      <c r="AC210" s="37"/>
      <c r="AD210" s="37"/>
      <c r="AE210" s="37"/>
      <c r="AF210" s="538"/>
      <c r="AH210" s="13"/>
      <c r="AI210" s="135"/>
      <c r="AJ210" s="135"/>
      <c r="AK210" s="277"/>
      <c r="AL210" s="259"/>
      <c r="AM210" s="137"/>
      <c r="AN210" s="141"/>
      <c r="AO210" s="58"/>
      <c r="AP210" s="58"/>
      <c r="AQ210" s="58"/>
      <c r="AR210" s="282" t="s">
        <v>66</v>
      </c>
      <c r="AS210" s="282"/>
      <c r="AT210" s="282"/>
      <c r="AU210" s="288"/>
      <c r="AV210" s="293">
        <v>0.15</v>
      </c>
    </row>
    <row r="211" spans="2:48" x14ac:dyDescent="0.3">
      <c r="B211" s="7"/>
      <c r="C211" s="5"/>
      <c r="D211" s="5"/>
      <c r="F211" s="74"/>
      <c r="G211" s="72"/>
      <c r="H211" s="72"/>
      <c r="I211" s="14"/>
      <c r="J211" s="15"/>
      <c r="K211" s="15"/>
      <c r="L211" s="12"/>
      <c r="M211" s="12"/>
      <c r="N211" s="77"/>
      <c r="O211" s="134"/>
      <c r="P211" s="131"/>
      <c r="Q211" s="136"/>
      <c r="R211" s="487"/>
      <c r="S211" s="131"/>
      <c r="T211" s="487"/>
      <c r="U211" s="16"/>
      <c r="V211" s="135"/>
      <c r="W211" s="135"/>
      <c r="X211" s="131"/>
      <c r="Y211" s="259"/>
      <c r="Z211" s="136"/>
      <c r="AA211" s="137"/>
      <c r="AB211" s="141"/>
      <c r="AC211" s="37"/>
      <c r="AD211" s="37"/>
      <c r="AE211" s="37"/>
      <c r="AF211" s="538"/>
      <c r="AH211" s="13"/>
      <c r="AI211" s="13"/>
      <c r="AJ211" s="12"/>
      <c r="AK211" s="12"/>
      <c r="AL211" s="12"/>
      <c r="AM211" s="12"/>
      <c r="AN211" s="202"/>
      <c r="AO211" s="58"/>
      <c r="AP211" s="58"/>
      <c r="AQ211" s="58"/>
      <c r="AR211" s="284" t="s">
        <v>68</v>
      </c>
      <c r="AS211" s="283"/>
      <c r="AT211" s="283"/>
      <c r="AU211" s="287"/>
      <c r="AV211" s="294">
        <f>SUM(M199)</f>
        <v>4000</v>
      </c>
    </row>
    <row r="212" spans="2:48" ht="14.4" customHeight="1" x14ac:dyDescent="0.3">
      <c r="F212" s="74"/>
      <c r="G212" s="72"/>
      <c r="H212" s="72"/>
      <c r="I212" s="14"/>
      <c r="J212" s="15"/>
      <c r="K212" s="15"/>
      <c r="L212" s="12"/>
      <c r="M212" s="12"/>
      <c r="N212" s="77"/>
      <c r="O212" s="16"/>
      <c r="P212" s="152"/>
      <c r="Q212" s="17"/>
      <c r="R212" s="486"/>
      <c r="S212" s="152"/>
      <c r="T212" s="486"/>
      <c r="U212" s="16"/>
      <c r="V212" s="15"/>
      <c r="W212" s="12"/>
      <c r="X212" s="83"/>
      <c r="Y212" s="84"/>
      <c r="Z212" s="189"/>
      <c r="AA212" s="68"/>
      <c r="AB212" s="190"/>
      <c r="AC212" s="37"/>
      <c r="AD212" s="37"/>
      <c r="AE212" s="37"/>
      <c r="AF212" s="538"/>
      <c r="AH212" s="13"/>
      <c r="AI212" s="13"/>
      <c r="AJ212" s="12"/>
      <c r="AK212" s="12"/>
      <c r="AL212" s="12"/>
      <c r="AM212" s="12"/>
      <c r="AN212" s="202"/>
      <c r="AO212" s="58"/>
      <c r="AP212" s="58"/>
      <c r="AQ212" s="58"/>
      <c r="AR212" s="284" t="s">
        <v>70</v>
      </c>
      <c r="AS212" s="283"/>
      <c r="AT212" s="283"/>
      <c r="AU212" s="287"/>
      <c r="AV212" s="296">
        <f>PRODUCT(AV210,AV211)</f>
        <v>600</v>
      </c>
    </row>
    <row r="213" spans="2:48" ht="15" customHeight="1" x14ac:dyDescent="0.3">
      <c r="F213" s="74"/>
      <c r="G213" s="72"/>
      <c r="H213" s="72"/>
      <c r="I213" s="14"/>
      <c r="J213" s="15"/>
      <c r="K213" s="15"/>
      <c r="L213" s="12"/>
      <c r="M213" s="12"/>
      <c r="N213" s="77"/>
      <c r="O213" s="16"/>
      <c r="P213" s="152"/>
      <c r="Q213" s="17"/>
      <c r="R213" s="486"/>
      <c r="S213" s="152"/>
      <c r="T213" s="486"/>
      <c r="U213" s="16"/>
      <c r="V213" s="15"/>
      <c r="W213" s="12"/>
      <c r="X213" s="83"/>
      <c r="Y213" s="84"/>
      <c r="Z213" s="189"/>
      <c r="AA213" s="68"/>
      <c r="AB213" s="190"/>
      <c r="AC213" s="37"/>
      <c r="AD213" s="37"/>
      <c r="AE213" s="37"/>
      <c r="AF213" s="538"/>
      <c r="AH213" s="13"/>
      <c r="AI213" s="13"/>
      <c r="AJ213" s="12"/>
      <c r="AK213" s="12"/>
      <c r="AL213" s="12"/>
      <c r="AM213" s="12"/>
      <c r="AN213" s="202"/>
      <c r="AO213" s="58"/>
      <c r="AP213" s="58"/>
      <c r="AQ213" s="58"/>
      <c r="AR213" s="284" t="s">
        <v>72</v>
      </c>
      <c r="AS213" s="283"/>
      <c r="AT213" s="283"/>
      <c r="AU213" s="287"/>
      <c r="AV213" s="296">
        <f ca="1">PRODUCT(AV212,AV209)</f>
        <v>1200</v>
      </c>
    </row>
    <row r="214" spans="2:48" ht="15.6" customHeight="1" x14ac:dyDescent="0.3">
      <c r="F214" s="74"/>
      <c r="G214" s="72"/>
      <c r="H214" s="766"/>
      <c r="I214" s="760"/>
      <c r="J214" s="761"/>
      <c r="K214" s="762" t="s">
        <v>248</v>
      </c>
      <c r="L214" s="762"/>
      <c r="M214" s="763"/>
      <c r="N214" s="669"/>
      <c r="O214" s="16"/>
      <c r="P214" s="152"/>
      <c r="Q214" s="17"/>
      <c r="R214" s="486"/>
      <c r="S214" s="152"/>
      <c r="T214" s="486"/>
      <c r="U214" s="16"/>
      <c r="V214" s="15"/>
      <c r="W214" s="12"/>
      <c r="X214" s="83"/>
      <c r="Y214" s="84"/>
      <c r="Z214" s="189"/>
      <c r="AA214" s="68"/>
      <c r="AB214" s="190"/>
      <c r="AC214" s="37"/>
      <c r="AD214" s="37"/>
      <c r="AE214" s="37"/>
      <c r="AF214" s="538"/>
      <c r="AH214" s="13"/>
      <c r="AI214" s="13"/>
      <c r="AJ214" s="12"/>
      <c r="AK214" s="12"/>
      <c r="AL214" s="12"/>
      <c r="AM214" s="12"/>
      <c r="AN214" s="202"/>
      <c r="AO214" s="58"/>
      <c r="AP214" s="58"/>
      <c r="AQ214" s="58"/>
    </row>
    <row r="215" spans="2:48" ht="15" customHeight="1" x14ac:dyDescent="0.3">
      <c r="F215" s="74"/>
      <c r="G215" s="72"/>
      <c r="H215" s="766"/>
      <c r="I215" s="760"/>
      <c r="J215" s="761"/>
      <c r="K215" s="762" t="s">
        <v>250</v>
      </c>
      <c r="L215" s="762"/>
      <c r="M215" s="763"/>
      <c r="N215" s="767"/>
      <c r="O215" s="16"/>
      <c r="P215" s="152"/>
      <c r="Q215" s="17"/>
      <c r="R215" s="486"/>
      <c r="S215" s="152"/>
      <c r="T215" s="486"/>
      <c r="U215" s="16"/>
      <c r="V215" s="15"/>
      <c r="W215" s="12"/>
      <c r="X215" s="83"/>
      <c r="Y215" s="84"/>
      <c r="Z215" s="189"/>
      <c r="AA215" s="68"/>
      <c r="AB215" s="190"/>
      <c r="AC215" s="37"/>
      <c r="AD215" s="37"/>
      <c r="AE215" s="37"/>
      <c r="AF215" s="538"/>
      <c r="AH215" s="13"/>
      <c r="AI215" s="13"/>
      <c r="AJ215" s="12"/>
      <c r="AK215" s="12"/>
      <c r="AL215" s="12"/>
      <c r="AM215" s="12"/>
      <c r="AN215" s="202"/>
      <c r="AO215" s="58"/>
      <c r="AP215" s="58"/>
      <c r="AQ215" s="58"/>
      <c r="AR215" s="298" t="s">
        <v>73</v>
      </c>
      <c r="AS215" s="284"/>
      <c r="AT215" s="284"/>
      <c r="AU215" s="302"/>
      <c r="AV215" s="295"/>
    </row>
    <row r="216" spans="2:48" ht="15" customHeight="1" x14ac:dyDescent="0.3">
      <c r="B216" s="7"/>
      <c r="C216" s="5"/>
      <c r="D216" s="5"/>
      <c r="F216" s="702"/>
      <c r="G216" s="72"/>
      <c r="H216" s="72"/>
      <c r="I216" s="14"/>
      <c r="J216" s="15"/>
      <c r="K216" s="703"/>
      <c r="L216" s="12"/>
      <c r="M216" s="152"/>
      <c r="N216" s="77"/>
      <c r="O216" s="16"/>
      <c r="P216" s="152"/>
      <c r="Q216" s="189"/>
      <c r="R216" s="494"/>
      <c r="S216" s="83"/>
      <c r="T216" s="494"/>
      <c r="U216" s="348"/>
      <c r="V216" s="332"/>
      <c r="W216" s="332"/>
      <c r="X216" s="450"/>
      <c r="Y216" s="667"/>
      <c r="Z216" s="451"/>
      <c r="AA216" s="452"/>
      <c r="AB216" s="453"/>
      <c r="AC216" s="37"/>
      <c r="AD216" s="37"/>
      <c r="AE216" s="37"/>
      <c r="AF216" s="538"/>
      <c r="AH216" s="13"/>
      <c r="AI216" s="13"/>
      <c r="AJ216" s="12"/>
      <c r="AK216" s="12"/>
      <c r="AL216" s="12"/>
      <c r="AM216" s="12"/>
      <c r="AN216" s="202"/>
      <c r="AO216" s="58"/>
      <c r="AP216" s="58"/>
      <c r="AQ216" s="58"/>
      <c r="AR216" s="284" t="s">
        <v>53</v>
      </c>
      <c r="AS216" s="284"/>
      <c r="AT216" s="284"/>
      <c r="AU216" s="302"/>
      <c r="AV216" s="289">
        <f>SUM(AU199)</f>
        <v>45680</v>
      </c>
    </row>
    <row r="217" spans="2:48" ht="15" customHeight="1" x14ac:dyDescent="0.3">
      <c r="B217" s="7"/>
      <c r="C217" s="5"/>
      <c r="D217" s="5"/>
      <c r="F217" s="702"/>
      <c r="G217" s="72"/>
      <c r="H217" s="72"/>
      <c r="I217" s="14"/>
      <c r="J217" s="15"/>
      <c r="K217" s="703"/>
      <c r="L217" s="12"/>
      <c r="M217" s="152"/>
      <c r="N217" s="77"/>
      <c r="O217" s="16"/>
      <c r="P217" s="152"/>
      <c r="Q217" s="451"/>
      <c r="R217" s="496"/>
      <c r="S217" s="450"/>
      <c r="T217" s="494"/>
      <c r="U217" s="348"/>
      <c r="V217" s="332"/>
      <c r="W217" s="332"/>
      <c r="X217" s="450"/>
      <c r="Y217" s="667"/>
      <c r="Z217" s="451"/>
      <c r="AA217" s="452"/>
      <c r="AB217" s="453"/>
      <c r="AC217" s="37"/>
      <c r="AD217" s="37"/>
      <c r="AE217" s="37"/>
      <c r="AF217" s="538"/>
      <c r="AH217" s="13"/>
      <c r="AI217" s="13"/>
      <c r="AJ217" s="12"/>
      <c r="AK217" s="12"/>
      <c r="AL217" s="12"/>
      <c r="AM217" s="12"/>
      <c r="AN217" s="202"/>
      <c r="AO217" s="58"/>
      <c r="AP217" s="58"/>
      <c r="AQ217" s="58"/>
      <c r="AR217" s="284" t="s">
        <v>55</v>
      </c>
      <c r="AS217" s="284"/>
      <c r="AT217" s="284"/>
      <c r="AU217" s="302"/>
      <c r="AV217" s="289">
        <f>SUM(AU201)</f>
        <v>45919</v>
      </c>
    </row>
    <row r="218" spans="2:48" ht="15" customHeight="1" x14ac:dyDescent="0.3">
      <c r="B218" s="7"/>
      <c r="C218" s="5"/>
      <c r="D218" s="5"/>
      <c r="F218" s="702"/>
      <c r="G218" s="72"/>
      <c r="H218" s="72"/>
      <c r="I218" s="14"/>
      <c r="J218" s="15"/>
      <c r="K218" s="703"/>
      <c r="L218" s="12"/>
      <c r="M218" s="152"/>
      <c r="N218" s="77"/>
      <c r="O218" s="16"/>
      <c r="P218" s="152"/>
      <c r="Q218" s="189"/>
      <c r="R218" s="494"/>
      <c r="S218" s="83"/>
      <c r="T218" s="494"/>
      <c r="U218" s="348"/>
      <c r="V218" s="332"/>
      <c r="W218" s="332"/>
      <c r="X218" s="450"/>
      <c r="Y218" s="667"/>
      <c r="Z218" s="451"/>
      <c r="AA218" s="452"/>
      <c r="AB218" s="453"/>
      <c r="AC218" s="37"/>
      <c r="AD218" s="37"/>
      <c r="AE218" s="37"/>
      <c r="AF218" s="538"/>
      <c r="AH218" s="13"/>
      <c r="AI218" s="13"/>
      <c r="AJ218" s="12"/>
      <c r="AK218" s="12"/>
      <c r="AL218" s="12"/>
      <c r="AM218" s="12"/>
      <c r="AN218" s="202"/>
      <c r="AO218" s="58"/>
      <c r="AP218" s="58"/>
      <c r="AQ218" s="58"/>
      <c r="AR218" s="282" t="s">
        <v>74</v>
      </c>
      <c r="AS218" s="282"/>
      <c r="AT218" s="282"/>
      <c r="AU218" s="288"/>
      <c r="AV218" s="303">
        <v>45716</v>
      </c>
    </row>
    <row r="219" spans="2:48" ht="15" customHeight="1" x14ac:dyDescent="0.3">
      <c r="F219" s="74"/>
      <c r="G219" s="72"/>
      <c r="H219" s="12"/>
      <c r="I219" s="12"/>
      <c r="J219" s="12"/>
      <c r="K219" s="17"/>
      <c r="L219" s="17"/>
      <c r="M219" s="17"/>
      <c r="N219" s="77"/>
      <c r="O219" s="16"/>
      <c r="P219" s="152"/>
      <c r="Q219" s="17"/>
      <c r="R219" s="486"/>
      <c r="S219" s="152"/>
      <c r="T219" s="486"/>
      <c r="U219" s="16"/>
      <c r="V219" s="15"/>
      <c r="W219" s="12"/>
      <c r="X219" s="83"/>
      <c r="Y219" s="84"/>
      <c r="Z219" s="189"/>
      <c r="AA219" s="68"/>
      <c r="AB219" s="190"/>
      <c r="AC219" s="37"/>
      <c r="AD219" s="37"/>
      <c r="AE219" s="37"/>
      <c r="AF219" s="538"/>
      <c r="AH219" s="13"/>
      <c r="AI219" s="13"/>
      <c r="AJ219" s="12"/>
      <c r="AK219" s="12"/>
      <c r="AL219" s="12"/>
      <c r="AM219" s="12"/>
      <c r="AN219" s="202"/>
      <c r="AO219" s="58"/>
      <c r="AP219" s="58"/>
      <c r="AQ219" s="58"/>
      <c r="AR219" s="284" t="s">
        <v>57</v>
      </c>
      <c r="AS219" s="283"/>
      <c r="AT219" s="283"/>
      <c r="AU219" s="287"/>
      <c r="AV219" s="289">
        <f ca="1">SUM(AU200)</f>
        <v>45702</v>
      </c>
    </row>
    <row r="220" spans="2:48" ht="15" customHeight="1" x14ac:dyDescent="0.3">
      <c r="F220" s="74"/>
      <c r="G220" s="72"/>
      <c r="H220" s="12"/>
      <c r="I220" s="12"/>
      <c r="J220" s="12"/>
      <c r="K220" s="17"/>
      <c r="L220" s="17"/>
      <c r="M220" s="17"/>
      <c r="N220" s="77"/>
      <c r="O220" s="16"/>
      <c r="P220" s="152"/>
      <c r="Q220" s="17"/>
      <c r="R220" s="486"/>
      <c r="S220" s="152"/>
      <c r="T220" s="486"/>
      <c r="U220" s="16"/>
      <c r="V220" s="15"/>
      <c r="W220" s="12"/>
      <c r="X220" s="83"/>
      <c r="Y220" s="84"/>
      <c r="Z220" s="189"/>
      <c r="AA220" s="68"/>
      <c r="AB220" s="190"/>
      <c r="AC220" s="37"/>
      <c r="AD220" s="37"/>
      <c r="AE220" s="37"/>
      <c r="AF220" s="538"/>
      <c r="AH220" s="13"/>
      <c r="AI220" s="13"/>
      <c r="AJ220" s="12"/>
      <c r="AK220" s="12"/>
      <c r="AL220" s="12"/>
      <c r="AM220" s="12"/>
      <c r="AN220" s="202"/>
      <c r="AO220" s="58"/>
      <c r="AP220" s="58"/>
      <c r="AQ220" s="58"/>
      <c r="AR220" s="284" t="s">
        <v>58</v>
      </c>
      <c r="AS220" s="283"/>
      <c r="AT220" s="283"/>
      <c r="AU220" s="287"/>
      <c r="AV220" s="290" t="s">
        <v>75</v>
      </c>
    </row>
    <row r="221" spans="2:48" ht="15" customHeight="1" x14ac:dyDescent="0.3">
      <c r="F221" s="74"/>
      <c r="G221" s="72"/>
      <c r="H221" s="72"/>
      <c r="I221" s="14"/>
      <c r="J221" s="15"/>
      <c r="K221" s="15"/>
      <c r="L221" s="12"/>
      <c r="M221" s="12"/>
      <c r="N221" s="77"/>
      <c r="O221" s="16"/>
      <c r="P221" s="152"/>
      <c r="Q221" s="17"/>
      <c r="R221" s="486"/>
      <c r="S221" s="152"/>
      <c r="T221" s="486"/>
      <c r="U221" s="16"/>
      <c r="V221" s="15"/>
      <c r="W221" s="12"/>
      <c r="X221" s="83"/>
      <c r="Y221" s="84"/>
      <c r="Z221" s="189"/>
      <c r="AA221" s="68"/>
      <c r="AB221" s="190"/>
      <c r="AC221" s="37"/>
      <c r="AD221" s="37"/>
      <c r="AE221" s="37"/>
      <c r="AF221" s="538"/>
      <c r="AH221" s="13"/>
      <c r="AI221" s="13"/>
      <c r="AJ221" s="12"/>
      <c r="AK221" s="12"/>
      <c r="AL221" s="12"/>
      <c r="AM221" s="12"/>
      <c r="AN221" s="202"/>
      <c r="AO221" s="58"/>
      <c r="AP221" s="58"/>
      <c r="AQ221" s="58"/>
      <c r="AR221" s="284" t="s">
        <v>76</v>
      </c>
      <c r="AS221" s="283"/>
      <c r="AT221" s="283"/>
      <c r="AU221" s="287"/>
      <c r="AV221" s="294" cm="1">
        <f t="array" aca="1" ref="AV221" ca="1">NPendingEvents(AV216,AV217,AV218,AV219,AV220)</f>
        <v>7</v>
      </c>
    </row>
    <row r="222" spans="2:48" ht="15" customHeight="1" x14ac:dyDescent="0.3">
      <c r="F222" s="74"/>
      <c r="G222" s="72"/>
      <c r="H222" s="72"/>
      <c r="I222" s="14"/>
      <c r="J222" s="15"/>
      <c r="K222" s="15"/>
      <c r="L222" s="12"/>
      <c r="M222" s="12"/>
      <c r="N222" s="77"/>
      <c r="O222" s="16"/>
      <c r="P222" s="152"/>
      <c r="Q222" s="17"/>
      <c r="R222" s="486"/>
      <c r="S222" s="152"/>
      <c r="T222" s="486"/>
      <c r="U222" s="16"/>
      <c r="V222" s="15"/>
      <c r="W222" s="12"/>
      <c r="X222" s="83"/>
      <c r="Y222" s="84"/>
      <c r="Z222" s="189"/>
      <c r="AA222" s="68"/>
      <c r="AB222" s="190"/>
      <c r="AC222" s="37"/>
      <c r="AD222" s="37"/>
      <c r="AE222" s="37"/>
      <c r="AF222" s="538"/>
      <c r="AH222" s="13"/>
      <c r="AI222" s="13"/>
      <c r="AJ222" s="12"/>
      <c r="AK222" s="12"/>
      <c r="AL222" s="12"/>
      <c r="AM222" s="12"/>
      <c r="AN222" s="202"/>
      <c r="AO222" s="58"/>
      <c r="AP222" s="58"/>
      <c r="AQ222" s="58"/>
      <c r="AR222" s="282" t="s">
        <v>77</v>
      </c>
      <c r="AS222" s="282"/>
      <c r="AT222" s="282"/>
      <c r="AU222" s="288"/>
      <c r="AV222" s="65">
        <v>0.18</v>
      </c>
    </row>
    <row r="223" spans="2:48" ht="15" customHeight="1" x14ac:dyDescent="0.3">
      <c r="F223" s="74"/>
      <c r="G223" s="72"/>
      <c r="H223" s="72"/>
      <c r="I223" s="14"/>
      <c r="J223" s="15"/>
      <c r="K223" s="15"/>
      <c r="L223" s="12"/>
      <c r="M223" s="12"/>
      <c r="N223" s="77"/>
      <c r="O223" s="16"/>
      <c r="P223" s="152"/>
      <c r="Q223" s="17"/>
      <c r="R223" s="486"/>
      <c r="S223" s="152"/>
      <c r="T223" s="486"/>
      <c r="U223" s="16"/>
      <c r="V223" s="15"/>
      <c r="W223" s="12"/>
      <c r="X223" s="83"/>
      <c r="Y223" s="84"/>
      <c r="Z223" s="189"/>
      <c r="AA223" s="68"/>
      <c r="AB223" s="190"/>
      <c r="AC223" s="37"/>
      <c r="AD223" s="37"/>
      <c r="AE223" s="37"/>
      <c r="AF223" s="538"/>
      <c r="AH223" s="13"/>
      <c r="AI223" s="13"/>
      <c r="AJ223" s="12"/>
      <c r="AK223" s="12"/>
      <c r="AL223" s="194"/>
      <c r="AM223" s="194" t="s">
        <v>78</v>
      </c>
      <c r="AN223" s="285">
        <f ca="1">SUM(AV213)</f>
        <v>1200</v>
      </c>
      <c r="AO223" s="58"/>
      <c r="AP223" s="58"/>
      <c r="AQ223" s="58"/>
      <c r="AR223" s="284" t="s">
        <v>68</v>
      </c>
      <c r="AS223" s="283"/>
      <c r="AT223" s="283"/>
      <c r="AU223" s="287"/>
      <c r="AV223" s="294">
        <f>SUM(M199)</f>
        <v>4000</v>
      </c>
    </row>
    <row r="224" spans="2:48" ht="15" customHeight="1" thickBot="1" x14ac:dyDescent="0.35">
      <c r="F224" s="31"/>
      <c r="G224" s="32"/>
      <c r="H224" s="32"/>
      <c r="I224" s="28"/>
      <c r="J224" s="28"/>
      <c r="K224" s="28"/>
      <c r="L224" s="28"/>
      <c r="M224" s="28"/>
      <c r="N224" s="28"/>
      <c r="O224" s="33"/>
      <c r="P224" s="475"/>
      <c r="Q224" s="507"/>
      <c r="R224" s="495"/>
      <c r="S224" s="475"/>
      <c r="T224" s="495"/>
      <c r="U224" s="33"/>
      <c r="V224" s="28"/>
      <c r="W224" s="28"/>
      <c r="X224" s="34"/>
      <c r="Y224" s="395"/>
      <c r="Z224" s="28"/>
      <c r="AA224" s="28"/>
      <c r="AB224" s="35"/>
      <c r="AC224"/>
      <c r="AD224"/>
      <c r="AE224"/>
      <c r="AF224" s="538"/>
      <c r="AH224" s="205"/>
      <c r="AI224" s="205"/>
      <c r="AJ224" s="145"/>
      <c r="AK224" s="145"/>
      <c r="AL224" s="374"/>
      <c r="AM224" s="374" t="s">
        <v>79</v>
      </c>
      <c r="AN224" s="285">
        <f ca="1">PRODUCT(AV225)</f>
        <v>5040</v>
      </c>
      <c r="AR224" s="284" t="s">
        <v>80</v>
      </c>
      <c r="AS224" s="283"/>
      <c r="AT224" s="283"/>
      <c r="AU224" s="287"/>
      <c r="AV224" s="296">
        <f>PRODUCT(AV222,AV223)</f>
        <v>720</v>
      </c>
    </row>
    <row r="225" spans="2:53" ht="15" customHeight="1" x14ac:dyDescent="0.3">
      <c r="F225" s="21"/>
      <c r="G225" s="21"/>
      <c r="H225" s="21"/>
      <c r="K225" s="1"/>
      <c r="L225" s="1"/>
      <c r="M225" s="1"/>
      <c r="N225" s="1"/>
      <c r="O225" s="4"/>
      <c r="U225" s="4"/>
      <c r="V225" s="1"/>
      <c r="W225" s="1"/>
      <c r="X225" s="113"/>
      <c r="Y225" s="113"/>
      <c r="Z225" s="114" t="s">
        <v>81</v>
      </c>
      <c r="AA225" s="103">
        <f>SUM(AA199:AA211)</f>
        <v>44640</v>
      </c>
      <c r="AB225" s="76"/>
      <c r="AC225" s="198">
        <f>SUM(AA225)</f>
        <v>44640</v>
      </c>
      <c r="AE225"/>
      <c r="AF225" s="538"/>
      <c r="AH225" s="67"/>
      <c r="AI225" s="242"/>
      <c r="AJ225" s="242"/>
      <c r="AK225" s="235"/>
      <c r="AL225" s="235"/>
      <c r="AM225" s="236" t="s">
        <v>81</v>
      </c>
      <c r="AN225" s="241">
        <f>SUM(AA199:AA222)</f>
        <v>44640</v>
      </c>
      <c r="AR225" s="284" t="s">
        <v>82</v>
      </c>
      <c r="AS225" s="283"/>
      <c r="AT225" s="283"/>
      <c r="AU225" s="287"/>
      <c r="AV225" s="296">
        <f ca="1">PRODUCT(AV221,AV224)</f>
        <v>5040</v>
      </c>
      <c r="AW225" s="300"/>
    </row>
    <row r="226" spans="2:53" ht="15" customHeight="1" x14ac:dyDescent="0.3">
      <c r="F226" s="21"/>
      <c r="G226" s="21"/>
      <c r="H226" s="21"/>
      <c r="I226" s="417" t="s">
        <v>83</v>
      </c>
      <c r="J226" s="418" t="s">
        <v>46</v>
      </c>
      <c r="K226" s="1"/>
      <c r="L226" s="78"/>
      <c r="M226" s="78"/>
      <c r="N226" s="1"/>
      <c r="O226" s="4"/>
      <c r="U226" s="4"/>
      <c r="V226" s="1"/>
      <c r="W226" s="1"/>
      <c r="X226" s="115" t="s">
        <v>84</v>
      </c>
      <c r="Y226" s="113"/>
      <c r="Z226" s="114"/>
      <c r="AA226" s="12"/>
      <c r="AB226" s="142">
        <f>SUM(AB199:AB224)</f>
        <v>966</v>
      </c>
      <c r="AD226" s="198">
        <f>SUM(AB226)</f>
        <v>966</v>
      </c>
      <c r="AE226" s="354"/>
      <c r="AF226" s="537"/>
      <c r="AH226" s="2"/>
      <c r="AI226" s="5"/>
      <c r="AJ226" s="5"/>
      <c r="AK226" s="36"/>
      <c r="AL226" s="36"/>
      <c r="AM226" s="114" t="s">
        <v>84</v>
      </c>
      <c r="AN226" s="142">
        <f ca="1">SUM(AN198:AN224)</f>
        <v>7206</v>
      </c>
      <c r="AO226" s="2"/>
      <c r="AP226" s="142">
        <f ca="1">AN226</f>
        <v>7206</v>
      </c>
      <c r="AQ226" s="2"/>
      <c r="AW226" s="24"/>
    </row>
    <row r="227" spans="2:53" ht="15" customHeight="1" x14ac:dyDescent="0.3">
      <c r="F227" s="21"/>
      <c r="G227" s="21"/>
      <c r="H227" s="21"/>
      <c r="K227" s="1"/>
      <c r="L227" s="78"/>
      <c r="M227" s="78"/>
      <c r="N227" s="1"/>
      <c r="O227" s="4"/>
      <c r="U227" s="4"/>
      <c r="V227" s="1"/>
      <c r="W227" s="1"/>
      <c r="X227" s="115" t="s">
        <v>85</v>
      </c>
      <c r="Y227" s="115"/>
      <c r="Z227" s="115"/>
      <c r="AA227" s="12"/>
      <c r="AB227" s="143">
        <f ca="1">_xlfn.DAYS(AB196,AB195)</f>
        <v>22</v>
      </c>
      <c r="AC227" s="37"/>
      <c r="AD227" s="37"/>
      <c r="AE227" s="37"/>
      <c r="AF227" s="538"/>
      <c r="AH227" s="2"/>
      <c r="AI227" s="5"/>
      <c r="AJ227" s="5"/>
      <c r="AK227" s="36"/>
      <c r="AL227" s="36"/>
      <c r="AM227" s="114" t="s">
        <v>86</v>
      </c>
      <c r="AN227" s="143">
        <f>_xlfn.DAYS(AN196,AN195)</f>
        <v>239</v>
      </c>
      <c r="AW227" s="24"/>
    </row>
    <row r="228" spans="2:53" ht="15" customHeight="1" thickBot="1" x14ac:dyDescent="0.35">
      <c r="F228" s="21"/>
      <c r="G228" s="21"/>
      <c r="H228" s="21"/>
      <c r="K228" s="1"/>
      <c r="L228" s="78"/>
      <c r="M228" s="78"/>
      <c r="N228" s="1"/>
      <c r="O228" s="4"/>
      <c r="U228" s="4"/>
      <c r="V228" s="1"/>
      <c r="W228" s="1"/>
      <c r="X228" s="115" t="s">
        <v>87</v>
      </c>
      <c r="Y228" s="113"/>
      <c r="Z228" s="114"/>
      <c r="AA228" s="113"/>
      <c r="AB228" s="149">
        <f>PRODUCT(AB226,100,1/AA225)</f>
        <v>2.163978494623656</v>
      </c>
      <c r="AC228" s="71"/>
      <c r="AD228" s="71"/>
      <c r="AE228" s="71"/>
      <c r="AF228" s="539"/>
      <c r="AH228" s="414"/>
      <c r="AI228" s="70"/>
      <c r="AJ228" s="70"/>
      <c r="AK228" s="36"/>
      <c r="AL228" s="36"/>
      <c r="AM228" s="114" t="s">
        <v>88</v>
      </c>
      <c r="AN228" s="149">
        <f ca="1">PRODUCT(AN226,100,1/AN225)</f>
        <v>16.142473118279568</v>
      </c>
      <c r="AW228" s="24"/>
    </row>
    <row r="229" spans="2:53" ht="37.799999999999997" customHeight="1" thickTop="1" thickBot="1" x14ac:dyDescent="0.35">
      <c r="F229" s="21"/>
      <c r="G229" s="21"/>
      <c r="H229" s="21"/>
      <c r="K229" s="1"/>
      <c r="L229" s="78"/>
      <c r="M229" s="78"/>
      <c r="N229" s="1"/>
      <c r="O229" s="4"/>
      <c r="U229" s="4"/>
      <c r="V229" s="1"/>
      <c r="W229" s="1"/>
      <c r="X229" s="150" t="s">
        <v>89</v>
      </c>
      <c r="Y229" s="147"/>
      <c r="Z229" s="147"/>
      <c r="AA229" s="148"/>
      <c r="AB229" s="151">
        <f ca="1">PRODUCT(AB228,365,1/AB227)</f>
        <v>35.902370478983386</v>
      </c>
      <c r="AC229"/>
      <c r="AD229"/>
      <c r="AE229"/>
      <c r="AF229" s="538"/>
      <c r="AH229" s="2"/>
      <c r="AI229" s="5"/>
      <c r="AJ229" s="5"/>
      <c r="AK229" s="147"/>
      <c r="AL229" s="147"/>
      <c r="AM229" s="267" t="s">
        <v>90</v>
      </c>
      <c r="AN229" s="373">
        <f ca="1">PRODUCT(AN228,365,1/AN227)</f>
        <v>24.65273091285373</v>
      </c>
      <c r="AV229" s="21"/>
      <c r="AW229" s="286"/>
    </row>
    <row r="230" spans="2:53" ht="15" customHeight="1" thickTop="1" x14ac:dyDescent="0.3">
      <c r="F230" s="223"/>
      <c r="G230" s="22"/>
      <c r="H230" s="22"/>
    </row>
    <row r="231" spans="2:53" ht="15" customHeight="1" x14ac:dyDescent="0.3">
      <c r="F231" s="223"/>
      <c r="G231" s="22"/>
      <c r="H231" s="22"/>
    </row>
    <row r="232" spans="2:53" ht="15" customHeight="1" thickBot="1" x14ac:dyDescent="0.35">
      <c r="F232" s="223"/>
      <c r="G232" s="22"/>
      <c r="H232" s="22"/>
    </row>
    <row r="233" spans="2:53" ht="15" customHeight="1" thickTop="1" x14ac:dyDescent="0.3">
      <c r="F233" s="45" t="s">
        <v>143</v>
      </c>
      <c r="G233" s="25"/>
      <c r="H233" s="25" t="s">
        <v>144</v>
      </c>
      <c r="I233" s="896" t="s">
        <v>215</v>
      </c>
      <c r="J233" s="814"/>
      <c r="K233" s="814"/>
      <c r="L233" s="897"/>
      <c r="M233" s="164"/>
      <c r="N233" s="165"/>
      <c r="O233" s="166" t="s">
        <v>3</v>
      </c>
      <c r="P233" s="471"/>
      <c r="Q233" s="502"/>
      <c r="R233" s="489"/>
      <c r="S233" s="471"/>
      <c r="T233" s="489"/>
      <c r="U233" s="167"/>
      <c r="V233" s="168"/>
      <c r="W233" s="93"/>
      <c r="X233" s="892" t="s">
        <v>161</v>
      </c>
      <c r="Y233" s="893"/>
      <c r="Z233" s="323"/>
      <c r="AA233" s="324" t="s">
        <v>5</v>
      </c>
      <c r="AB233" s="439">
        <f>K237</f>
        <v>45688</v>
      </c>
      <c r="AH233" s="167"/>
      <c r="AI233" s="168"/>
      <c r="AJ233" s="93"/>
      <c r="AK233" s="892" t="s">
        <v>161</v>
      </c>
      <c r="AL233" s="893"/>
      <c r="AM233" s="326"/>
      <c r="AN233" s="256">
        <f>SUM(K237)</f>
        <v>45688</v>
      </c>
      <c r="AO233" s="403"/>
      <c r="AP233" s="403"/>
      <c r="AQ233" s="403"/>
      <c r="AV233" s="403"/>
      <c r="AW233" s="403"/>
      <c r="AX233" s="403"/>
      <c r="AY233" s="403"/>
      <c r="AZ233" s="403"/>
      <c r="BA233" s="403"/>
    </row>
    <row r="234" spans="2:53" ht="15" customHeight="1" thickBot="1" x14ac:dyDescent="0.35">
      <c r="F234" s="56" t="s">
        <v>98</v>
      </c>
      <c r="G234" s="27" t="s">
        <v>142</v>
      </c>
      <c r="H234" s="27"/>
      <c r="I234" s="898"/>
      <c r="J234" s="899"/>
      <c r="K234" s="899"/>
      <c r="L234" s="900"/>
      <c r="M234" s="115"/>
      <c r="N234" s="171"/>
      <c r="O234" s="172" t="s">
        <v>6</v>
      </c>
      <c r="P234" s="472"/>
      <c r="Q234" s="503"/>
      <c r="R234" s="490"/>
      <c r="S234" s="472"/>
      <c r="T234" s="490"/>
      <c r="U234" s="173"/>
      <c r="V234" s="174"/>
      <c r="W234" s="175"/>
      <c r="X234" s="894"/>
      <c r="Y234" s="895"/>
      <c r="Z234" s="209"/>
      <c r="AA234" s="210" t="s">
        <v>7</v>
      </c>
      <c r="AB234" s="211">
        <f ca="1">$C$4</f>
        <v>45702</v>
      </c>
      <c r="AH234" s="173"/>
      <c r="AI234" s="174"/>
      <c r="AJ234" s="175"/>
      <c r="AK234" s="894"/>
      <c r="AL234" s="895"/>
      <c r="AM234" s="255"/>
      <c r="AN234" s="257">
        <f>SUM(J240)</f>
        <v>46038</v>
      </c>
      <c r="AO234" s="58"/>
      <c r="AP234" s="58"/>
      <c r="AQ234" s="58"/>
      <c r="AU234" s="226"/>
      <c r="AV234" s="70"/>
      <c r="AX234" s="414"/>
      <c r="AY234" s="228"/>
      <c r="AZ234" s="415"/>
      <c r="BA234" s="416"/>
    </row>
    <row r="235" spans="2:53" ht="57.6" customHeight="1" thickTop="1" thickBot="1" x14ac:dyDescent="0.4">
      <c r="B235" s="1" t="s">
        <v>8</v>
      </c>
      <c r="F235" s="935" t="s">
        <v>9</v>
      </c>
      <c r="G235" s="906" t="s">
        <v>10</v>
      </c>
      <c r="H235" s="398" t="s">
        <v>11</v>
      </c>
      <c r="I235" s="906" t="s">
        <v>12</v>
      </c>
      <c r="J235" s="906" t="s">
        <v>13</v>
      </c>
      <c r="K235" s="906" t="s">
        <v>14</v>
      </c>
      <c r="L235" s="906" t="s">
        <v>15</v>
      </c>
      <c r="M235" s="906" t="s">
        <v>106</v>
      </c>
      <c r="N235" s="398" t="s">
        <v>17</v>
      </c>
      <c r="O235" s="908" t="s">
        <v>18</v>
      </c>
      <c r="P235" s="803" t="s">
        <v>167</v>
      </c>
      <c r="Q235" s="828" t="s">
        <v>200</v>
      </c>
      <c r="R235" s="840" t="s">
        <v>201</v>
      </c>
      <c r="S235" s="864" t="s">
        <v>202</v>
      </c>
      <c r="T235" s="866" t="s">
        <v>204</v>
      </c>
      <c r="U235" s="182"/>
      <c r="V235" s="407" t="s">
        <v>19</v>
      </c>
      <c r="W235" s="407" t="s">
        <v>20</v>
      </c>
      <c r="X235" s="408" t="s">
        <v>16</v>
      </c>
      <c r="Y235" s="407" t="s">
        <v>21</v>
      </c>
      <c r="Z235" s="402" t="s">
        <v>22</v>
      </c>
      <c r="AA235" s="402" t="s">
        <v>23</v>
      </c>
      <c r="AB235" s="409" t="s">
        <v>24</v>
      </c>
      <c r="AC235" s="403"/>
      <c r="AD235" s="403"/>
      <c r="AE235" s="403"/>
      <c r="AF235" s="541"/>
      <c r="AH235" s="99"/>
      <c r="AI235" s="401" t="s">
        <v>25</v>
      </c>
      <c r="AJ235" s="887" t="s">
        <v>20</v>
      </c>
      <c r="AK235" s="886" t="s">
        <v>16</v>
      </c>
      <c r="AL235" s="338" t="s">
        <v>26</v>
      </c>
      <c r="AM235" s="401" t="s">
        <v>27</v>
      </c>
      <c r="AN235" s="879" t="s">
        <v>28</v>
      </c>
      <c r="AO235" s="888"/>
      <c r="AP235" s="403"/>
      <c r="AQ235" s="403"/>
    </row>
    <row r="236" spans="2:53" ht="58.8" customHeight="1" thickTop="1" thickBot="1" x14ac:dyDescent="0.35">
      <c r="B236" s="89" t="s">
        <v>29</v>
      </c>
      <c r="F236" s="936"/>
      <c r="G236" s="910"/>
      <c r="H236" s="399"/>
      <c r="I236" s="910"/>
      <c r="J236" s="910"/>
      <c r="K236" s="910"/>
      <c r="L236" s="910"/>
      <c r="M236" s="907"/>
      <c r="N236" s="64" t="s">
        <v>30</v>
      </c>
      <c r="O236" s="909"/>
      <c r="P236" s="804"/>
      <c r="Q236" s="829"/>
      <c r="R236" s="841"/>
      <c r="S236" s="865"/>
      <c r="T236" s="867"/>
      <c r="U236" s="183"/>
      <c r="V236" s="199" t="s">
        <v>31</v>
      </c>
      <c r="W236" s="402"/>
      <c r="X236" s="406"/>
      <c r="Y236" s="199" t="s">
        <v>32</v>
      </c>
      <c r="Z236" s="120" t="s">
        <v>33</v>
      </c>
      <c r="AA236" s="402"/>
      <c r="AB236" s="409"/>
      <c r="AC236" s="403"/>
      <c r="AD236" s="403"/>
      <c r="AE236" s="403"/>
      <c r="AF236" s="541"/>
      <c r="AH236" s="118"/>
      <c r="AI236" s="261" t="s">
        <v>34</v>
      </c>
      <c r="AJ236" s="869"/>
      <c r="AK236" s="882"/>
      <c r="AL236" s="199" t="s">
        <v>32</v>
      </c>
      <c r="AM236" s="120" t="s">
        <v>33</v>
      </c>
      <c r="AN236" s="880"/>
      <c r="AO236" s="888"/>
      <c r="AP236" s="403"/>
      <c r="AQ236" s="403"/>
      <c r="AR236" s="370"/>
      <c r="AS236" s="467">
        <v>46044</v>
      </c>
      <c r="AT236" s="372"/>
      <c r="AU236" s="367" t="s">
        <v>35</v>
      </c>
      <c r="AV236" s="400" t="s">
        <v>36</v>
      </c>
      <c r="AW236" s="400" t="s">
        <v>37</v>
      </c>
      <c r="AX236" s="400" t="s">
        <v>38</v>
      </c>
      <c r="AY236" s="400" t="s">
        <v>39</v>
      </c>
      <c r="AZ236" s="400" t="s">
        <v>40</v>
      </c>
      <c r="BA236" s="218" t="s">
        <v>41</v>
      </c>
    </row>
    <row r="237" spans="2:53" ht="15" customHeight="1" x14ac:dyDescent="0.3">
      <c r="B237" s="304" t="s">
        <v>217</v>
      </c>
      <c r="C237" s="65" t="s">
        <v>61</v>
      </c>
      <c r="D237" s="65"/>
      <c r="E237" s="559" t="s">
        <v>139</v>
      </c>
      <c r="F237" s="670" t="s">
        <v>180</v>
      </c>
      <c r="G237" s="671" t="s">
        <v>49</v>
      </c>
      <c r="H237" s="671" t="s">
        <v>45</v>
      </c>
      <c r="I237" s="672">
        <v>10</v>
      </c>
      <c r="J237" s="673">
        <v>45695</v>
      </c>
      <c r="K237" s="674">
        <v>45688</v>
      </c>
      <c r="L237" s="675" t="s">
        <v>63</v>
      </c>
      <c r="M237" s="676">
        <v>20</v>
      </c>
      <c r="N237" s="677">
        <v>0.28000000000000003</v>
      </c>
      <c r="O237" s="680">
        <f>IF(L237="Buy",M237*N237*-1*100,M237*N237*100)</f>
        <v>560</v>
      </c>
      <c r="P237" s="131"/>
      <c r="Q237" s="106">
        <f t="shared" ref="Q237:Q238" si="63">PRODUCT(O237,-1)</f>
        <v>-560</v>
      </c>
      <c r="R237" s="530">
        <f>Q237</f>
        <v>-560</v>
      </c>
      <c r="S237" s="531">
        <f t="shared" ref="S237:S240" si="64">_xlfn.DAYS(K238,K237)</f>
        <v>5</v>
      </c>
      <c r="T237" s="530">
        <f t="shared" ref="T237:T238" si="65">PRODUCT(R237,S237)</f>
        <v>-2800</v>
      </c>
      <c r="U237" s="681"/>
      <c r="V237" s="127">
        <v>46425</v>
      </c>
      <c r="W237" s="127" t="str">
        <f t="shared" ref="W237" si="66">IF(L237="Buy","Sell","Buy")</f>
        <v>Buy</v>
      </c>
      <c r="X237" s="128">
        <f t="shared" ref="X237" si="67">SUM(M237)</f>
        <v>20</v>
      </c>
      <c r="Y237" s="337">
        <v>0</v>
      </c>
      <c r="Z237" s="106">
        <f>IF(W237="Buy",X237*Y237*-1,X237*Y237)</f>
        <v>0</v>
      </c>
      <c r="AA237" s="137"/>
      <c r="AB237" s="139">
        <f t="shared" ref="AB237" si="68">SUM(O237,Z237)</f>
        <v>560</v>
      </c>
      <c r="AC237" s="704" t="s">
        <v>218</v>
      </c>
      <c r="AD237" s="69"/>
      <c r="AE237" s="69"/>
      <c r="AF237" s="542"/>
      <c r="AH237" s="178"/>
      <c r="AI237" s="135"/>
      <c r="AJ237" s="135"/>
      <c r="AK237" s="277"/>
      <c r="AL237" s="683"/>
      <c r="AM237" s="137"/>
      <c r="AN237" s="141"/>
      <c r="AO237" s="58"/>
      <c r="AP237" s="58"/>
      <c r="AQ237" s="58"/>
      <c r="AR237" s="368" t="s">
        <v>5</v>
      </c>
      <c r="AS237" s="369"/>
      <c r="AT237" s="369"/>
      <c r="AU237" s="214">
        <f>SUM(AB233)</f>
        <v>45688</v>
      </c>
      <c r="AV237" s="858">
        <f>SUM(AA263)</f>
        <v>0</v>
      </c>
      <c r="AW237" s="213"/>
      <c r="AX237" s="861">
        <f ca="1">SUM(AW239,-AW238)</f>
        <v>11428.571428571428</v>
      </c>
      <c r="AY237" s="219"/>
      <c r="AZ237" s="872">
        <f ca="1">SUM(AY239,-1*AY238)</f>
        <v>-14</v>
      </c>
      <c r="BA237" s="911">
        <f ca="1">PRODUCT(30,1/AZ237,AX237)</f>
        <v>-24489.795918367345</v>
      </c>
    </row>
    <row r="238" spans="2:53" ht="15" customHeight="1" x14ac:dyDescent="0.3">
      <c r="B238" s="88" t="s">
        <v>221</v>
      </c>
      <c r="C238" s="79" t="e">
        <f>_xll.EPF.Yahoo.Price("F250207P00009000")</f>
        <v>#NUM!</v>
      </c>
      <c r="D238" s="79"/>
      <c r="E238" s="18" t="s">
        <v>107</v>
      </c>
      <c r="F238" s="345" t="s">
        <v>180</v>
      </c>
      <c r="G238" s="340" t="s">
        <v>49</v>
      </c>
      <c r="H238" s="340" t="s">
        <v>45</v>
      </c>
      <c r="I238" s="341">
        <v>9</v>
      </c>
      <c r="J238" s="342">
        <v>45695</v>
      </c>
      <c r="K238" s="346">
        <v>45693</v>
      </c>
      <c r="L238" s="343" t="s">
        <v>63</v>
      </c>
      <c r="M238" s="347">
        <v>20</v>
      </c>
      <c r="N238" s="344">
        <v>0.03</v>
      </c>
      <c r="O238" s="679">
        <f>IF(L238="Buy",M238*N238*-1*100,M238*N238*100)</f>
        <v>60</v>
      </c>
      <c r="P238" s="83"/>
      <c r="Q238" s="104">
        <f t="shared" si="63"/>
        <v>-60</v>
      </c>
      <c r="R238" s="490">
        <f t="shared" ref="R238:R241" si="69">SUM(R237,Q238)</f>
        <v>-620</v>
      </c>
      <c r="S238" s="531">
        <f t="shared" si="64"/>
        <v>2</v>
      </c>
      <c r="T238" s="530">
        <f t="shared" si="65"/>
        <v>-1240</v>
      </c>
      <c r="U238" s="348"/>
      <c r="V238" s="335">
        <f ca="1">($C$4)</f>
        <v>45702</v>
      </c>
      <c r="W238" s="335" t="str">
        <f>IF(L238="Buy","Sell","Buy")</f>
        <v>Buy</v>
      </c>
      <c r="X238" s="336">
        <f>SUM(M238)</f>
        <v>20</v>
      </c>
      <c r="Y238" s="682">
        <v>0</v>
      </c>
      <c r="Z238" s="349">
        <f>IF(W238="Buy",X238*Y238*-1*100,X238*Y238*100)</f>
        <v>0</v>
      </c>
      <c r="AA238" s="137"/>
      <c r="AB238" s="350">
        <f>SUM(O238,Z238)</f>
        <v>60</v>
      </c>
      <c r="AC238" s="704" t="s">
        <v>227</v>
      </c>
      <c r="AD238" s="69"/>
      <c r="AE238" s="69"/>
      <c r="AF238" s="542"/>
      <c r="AH238" s="178"/>
      <c r="AI238" s="135"/>
      <c r="AJ238" s="135"/>
      <c r="AK238" s="277"/>
      <c r="AL238" s="683"/>
      <c r="AM238" s="137"/>
      <c r="AN238" s="141"/>
      <c r="AO238" s="58"/>
      <c r="AP238" s="58"/>
      <c r="AQ238" s="58"/>
      <c r="AR238" s="212" t="s">
        <v>7</v>
      </c>
      <c r="AS238" s="213"/>
      <c r="AT238" s="213"/>
      <c r="AU238" s="214">
        <f ca="1">SUM(AB234)</f>
        <v>45702</v>
      </c>
      <c r="AV238" s="859"/>
      <c r="AW238" s="220">
        <f>SUM(AB260)</f>
        <v>-590.00000000000011</v>
      </c>
      <c r="AX238" s="862"/>
      <c r="AY238" s="195">
        <f ca="1">SUM(AB261)</f>
        <v>14</v>
      </c>
      <c r="AZ238" s="873"/>
      <c r="BA238" s="912"/>
    </row>
    <row r="239" spans="2:53" ht="15" customHeight="1" thickBot="1" x14ac:dyDescent="0.35">
      <c r="B239" s="87" t="s">
        <v>180</v>
      </c>
      <c r="C239" s="376">
        <f>_xll.EPF.Yahoo.Price("f")</f>
        <v>9.4450000000000003</v>
      </c>
      <c r="D239" s="376"/>
      <c r="E239" s="559" t="s">
        <v>139</v>
      </c>
      <c r="F239" s="95" t="s">
        <v>180</v>
      </c>
      <c r="G239" s="668" t="s">
        <v>44</v>
      </c>
      <c r="H239" s="340" t="s">
        <v>45</v>
      </c>
      <c r="I239" s="341" t="s">
        <v>46</v>
      </c>
      <c r="J239" s="342" t="s">
        <v>46</v>
      </c>
      <c r="K239" s="346">
        <v>45695</v>
      </c>
      <c r="L239" s="412" t="s">
        <v>47</v>
      </c>
      <c r="M239" s="38">
        <v>2000</v>
      </c>
      <c r="N239" s="669">
        <v>10</v>
      </c>
      <c r="O239" s="678">
        <f>IF(L239="Buy",M239*N239*-1,M239*N239)</f>
        <v>-20000</v>
      </c>
      <c r="P239" s="131"/>
      <c r="Q239" s="104">
        <f>PRODUCT(O239,-1)</f>
        <v>20000</v>
      </c>
      <c r="R239" s="490">
        <f t="shared" si="69"/>
        <v>19380</v>
      </c>
      <c r="S239" s="531">
        <f t="shared" si="64"/>
        <v>0</v>
      </c>
      <c r="T239" s="530">
        <f>PRODUCT(R239,S239)</f>
        <v>0</v>
      </c>
      <c r="U239" s="16"/>
      <c r="V239" s="125">
        <f ca="1">$C$4</f>
        <v>45702</v>
      </c>
      <c r="W239" s="125" t="str">
        <f>IF(L239="Buy","Sell","Buy")</f>
        <v>Sell</v>
      </c>
      <c r="X239" s="126">
        <f>SUM(M239)</f>
        <v>2000</v>
      </c>
      <c r="Y239" s="197">
        <f>SUM(C239)</f>
        <v>9.4450000000000003</v>
      </c>
      <c r="Z239" s="104">
        <f>IF(W239="Buy",X239*Y239*-1,X239*Y239)</f>
        <v>18890</v>
      </c>
      <c r="AA239" s="137"/>
      <c r="AB239" s="138">
        <f>SUM(O239,Z239)</f>
        <v>-1110</v>
      </c>
      <c r="AC239" s="704" t="s">
        <v>216</v>
      </c>
      <c r="AD239" s="37"/>
      <c r="AE239" s="37"/>
      <c r="AF239" s="538"/>
      <c r="AH239" s="16"/>
      <c r="AI239" s="135"/>
      <c r="AJ239" s="135"/>
      <c r="AK239" s="277"/>
      <c r="AL239" s="259"/>
      <c r="AM239" s="137"/>
      <c r="AN239" s="141"/>
      <c r="AO239" s="58"/>
      <c r="AP239" s="58"/>
      <c r="AQ239" s="58"/>
      <c r="AR239" s="215" t="s">
        <v>50</v>
      </c>
      <c r="AS239" s="216"/>
      <c r="AT239" s="216"/>
      <c r="AU239" s="214">
        <f>SUM(AN234)</f>
        <v>46038</v>
      </c>
      <c r="AV239" s="860"/>
      <c r="AW239" s="221">
        <f ca="1">SUM(AN264)</f>
        <v>10838.571428571428</v>
      </c>
      <c r="AX239" s="863"/>
      <c r="AY239" s="222">
        <f>SUM(AN261)</f>
        <v>0</v>
      </c>
      <c r="AZ239" s="874"/>
      <c r="BA239" s="913"/>
    </row>
    <row r="240" spans="2:53" ht="15" customHeight="1" x14ac:dyDescent="0.3">
      <c r="B240" s="88" t="s">
        <v>219</v>
      </c>
      <c r="C240" s="79">
        <f>_xll.EPF.Yahoo.Price("F260116P00009820")</f>
        <v>1.48</v>
      </c>
      <c r="D240" s="79"/>
      <c r="E240" s="559" t="s">
        <v>139</v>
      </c>
      <c r="F240" s="345" t="s">
        <v>180</v>
      </c>
      <c r="G240" s="340" t="s">
        <v>49</v>
      </c>
      <c r="H240" s="340" t="s">
        <v>45</v>
      </c>
      <c r="I240" s="341">
        <v>9.82</v>
      </c>
      <c r="J240" s="342">
        <v>46038</v>
      </c>
      <c r="K240" s="346">
        <v>45695</v>
      </c>
      <c r="L240" s="343" t="s">
        <v>47</v>
      </c>
      <c r="M240" s="347">
        <v>20</v>
      </c>
      <c r="N240" s="344">
        <v>1.54</v>
      </c>
      <c r="O240" s="679">
        <f>IF(L240="Buy",M240*N240*-1*100,M240*N240*100)</f>
        <v>-3080</v>
      </c>
      <c r="P240" s="131"/>
      <c r="Q240" s="104">
        <f t="shared" ref="Q240" si="70">PRODUCT(O240,-1)</f>
        <v>3080</v>
      </c>
      <c r="R240" s="490">
        <f t="shared" si="69"/>
        <v>22460</v>
      </c>
      <c r="S240" s="531">
        <f t="shared" si="64"/>
        <v>3</v>
      </c>
      <c r="T240" s="530">
        <f t="shared" ref="T240" si="71">PRODUCT(R240,S240)</f>
        <v>67380</v>
      </c>
      <c r="U240" s="585"/>
      <c r="V240" s="125">
        <f ca="1">$C$4</f>
        <v>45702</v>
      </c>
      <c r="W240" s="125" t="str">
        <f t="shared" ref="W240" si="72">IF(L240="Buy","Sell","Buy")</f>
        <v>Sell</v>
      </c>
      <c r="X240" s="126">
        <f t="shared" ref="X240" si="73">SUM(M240)</f>
        <v>20</v>
      </c>
      <c r="Y240" s="197">
        <f>SUM(C240)</f>
        <v>1.48</v>
      </c>
      <c r="Z240" s="103">
        <f t="shared" ref="Z240" si="74">IF(W240="Buy",X240*Y240*-1*100,X240*Y240*100)</f>
        <v>2960</v>
      </c>
      <c r="AA240" s="137"/>
      <c r="AB240" s="138">
        <f t="shared" ref="AB240:AB241" si="75">SUM(O240,Z240)</f>
        <v>-120</v>
      </c>
      <c r="AD240" s="37"/>
      <c r="AE240" s="37"/>
      <c r="AF240" s="538"/>
      <c r="AH240" s="16"/>
      <c r="AI240" s="15"/>
      <c r="AJ240" s="12"/>
      <c r="AK240" s="152"/>
      <c r="AL240" s="77"/>
      <c r="AM240" s="17"/>
      <c r="AN240" s="141"/>
      <c r="AO240" s="58"/>
      <c r="AP240" s="58"/>
      <c r="AQ240" s="58"/>
    </row>
    <row r="241" spans="2:52" ht="15" customHeight="1" x14ac:dyDescent="0.3">
      <c r="B241" s="88" t="s">
        <v>220</v>
      </c>
      <c r="C241" s="79">
        <f>_xll.EPF.Yahoo.Price("F250307C00009500")</f>
        <v>0.17</v>
      </c>
      <c r="D241" s="79"/>
      <c r="E241" s="559" t="s">
        <v>139</v>
      </c>
      <c r="F241" s="50" t="s">
        <v>180</v>
      </c>
      <c r="G241" s="49" t="s">
        <v>62</v>
      </c>
      <c r="H241" s="49" t="s">
        <v>45</v>
      </c>
      <c r="I241" s="43">
        <v>9.5</v>
      </c>
      <c r="J241" s="44">
        <v>45358</v>
      </c>
      <c r="K241" s="44">
        <v>45698</v>
      </c>
      <c r="L241" s="40" t="s">
        <v>63</v>
      </c>
      <c r="M241" s="40">
        <v>20</v>
      </c>
      <c r="N241" s="42">
        <v>0.18</v>
      </c>
      <c r="O241" s="679">
        <f>IF(L241="Buy",M241*N241*-1*100,M241*N241*100)</f>
        <v>359.99999999999994</v>
      </c>
      <c r="P241" s="131"/>
      <c r="Q241" s="104">
        <f t="shared" ref="Q241" si="76">PRODUCT(O241,-1)</f>
        <v>-359.99999999999994</v>
      </c>
      <c r="R241" s="490">
        <f t="shared" si="69"/>
        <v>22100</v>
      </c>
      <c r="S241" s="531">
        <f ca="1">_xlfn.DAYS(TODAY(),K241)</f>
        <v>4</v>
      </c>
      <c r="T241" s="530">
        <f t="shared" ref="T241" ca="1" si="77">PRODUCT(R241,S241)</f>
        <v>88400</v>
      </c>
      <c r="U241" s="585"/>
      <c r="V241" s="125">
        <f ca="1">$C$4</f>
        <v>45702</v>
      </c>
      <c r="W241" s="125" t="str">
        <f t="shared" ref="W241" si="78">IF(L241="Buy","Sell","Buy")</f>
        <v>Buy</v>
      </c>
      <c r="X241" s="126">
        <f t="shared" ref="X241" si="79">SUM(M241)</f>
        <v>20</v>
      </c>
      <c r="Y241" s="197">
        <f>SUM(C241)</f>
        <v>0.17</v>
      </c>
      <c r="Z241" s="103">
        <f>IF(W241="Buy",X241*Y241*-1*100,X241*Y241*100)</f>
        <v>-340.00000000000006</v>
      </c>
      <c r="AA241" s="137"/>
      <c r="AB241" s="138">
        <f t="shared" si="75"/>
        <v>19.999999999999886</v>
      </c>
      <c r="AC241" s="614"/>
      <c r="AH241" s="13"/>
      <c r="AI241" s="12"/>
      <c r="AJ241" s="12"/>
      <c r="AK241" s="73"/>
      <c r="AL241" s="12"/>
      <c r="AM241" s="12"/>
      <c r="AN241" s="141"/>
      <c r="AO241" s="58"/>
      <c r="AP241" s="58"/>
      <c r="AQ241" s="58"/>
      <c r="AR241" s="298" t="s">
        <v>52</v>
      </c>
      <c r="AS241" s="295"/>
      <c r="AT241" s="295"/>
      <c r="AU241" s="295"/>
      <c r="AV241" s="295"/>
      <c r="AW241" s="297"/>
      <c r="AX241" s="297"/>
      <c r="AY241" s="297"/>
      <c r="AZ241" s="297"/>
    </row>
    <row r="242" spans="2:52" ht="15" customHeight="1" x14ac:dyDescent="0.3">
      <c r="B242" s="7"/>
      <c r="C242" s="5"/>
      <c r="D242" s="5"/>
      <c r="F242" s="74"/>
      <c r="G242" s="72"/>
      <c r="H242" s="72"/>
      <c r="I242" s="14"/>
      <c r="J242" s="15"/>
      <c r="K242" s="15"/>
      <c r="L242" s="12"/>
      <c r="M242" s="12"/>
      <c r="N242" s="77"/>
      <c r="O242" s="134"/>
      <c r="P242" s="450"/>
      <c r="Q242" s="451"/>
      <c r="R242" s="496"/>
      <c r="S242" s="450"/>
      <c r="T242" s="487"/>
      <c r="U242" s="16"/>
      <c r="V242" s="135"/>
      <c r="W242" s="135"/>
      <c r="X242" s="131"/>
      <c r="Y242" s="259"/>
      <c r="Z242" s="136"/>
      <c r="AA242" s="137"/>
      <c r="AB242" s="141"/>
      <c r="AC242" s="37"/>
      <c r="AD242" s="37"/>
      <c r="AE242" s="37"/>
      <c r="AF242" s="538"/>
      <c r="AH242" s="13"/>
      <c r="AI242" s="12"/>
      <c r="AJ242" s="12"/>
      <c r="AK242" s="73"/>
      <c r="AL242" s="12"/>
      <c r="AM242" s="12"/>
      <c r="AN242" s="141"/>
      <c r="AO242" s="58"/>
      <c r="AP242" s="58"/>
      <c r="AQ242" s="58"/>
      <c r="AR242" s="284" t="s">
        <v>53</v>
      </c>
      <c r="AS242" s="283"/>
      <c r="AT242" s="283"/>
      <c r="AU242" s="287"/>
      <c r="AV242" s="289">
        <f>SUM(AU237)</f>
        <v>45688</v>
      </c>
    </row>
    <row r="243" spans="2:52" ht="15" customHeight="1" x14ac:dyDescent="0.3">
      <c r="B243" s="7"/>
      <c r="C243" s="5"/>
      <c r="D243" s="5"/>
      <c r="F243" s="74"/>
      <c r="G243" s="72"/>
      <c r="H243" s="72"/>
      <c r="I243" s="14"/>
      <c r="J243" s="15"/>
      <c r="K243" s="15"/>
      <c r="L243" s="12"/>
      <c r="M243" s="12"/>
      <c r="N243" s="77"/>
      <c r="O243" s="134"/>
      <c r="P243" s="450"/>
      <c r="Q243" s="451"/>
      <c r="R243" s="496"/>
      <c r="S243" s="450"/>
      <c r="T243" s="487"/>
      <c r="U243" s="16"/>
      <c r="V243" s="135"/>
      <c r="W243" s="135"/>
      <c r="X243" s="131"/>
      <c r="Y243" s="5"/>
      <c r="Z243" s="136"/>
      <c r="AA243" s="137"/>
      <c r="AB243" s="141"/>
      <c r="AC243" s="37"/>
      <c r="AD243" s="37"/>
      <c r="AE243" s="37"/>
      <c r="AF243" s="538"/>
      <c r="AH243" s="13"/>
      <c r="AI243" s="13"/>
      <c r="AJ243" s="12"/>
      <c r="AK243" s="12"/>
      <c r="AL243" s="12"/>
      <c r="AM243" s="12"/>
      <c r="AN243" s="141"/>
      <c r="AO243" s="58"/>
      <c r="AP243" s="58"/>
      <c r="AQ243" s="58"/>
      <c r="AR243" s="284" t="s">
        <v>55</v>
      </c>
      <c r="AS243" s="283"/>
      <c r="AT243" s="283"/>
      <c r="AU243" s="287"/>
      <c r="AV243" s="289">
        <f>SUM(AU239)</f>
        <v>46038</v>
      </c>
    </row>
    <row r="244" spans="2:52" ht="15" customHeight="1" x14ac:dyDescent="0.3">
      <c r="B244" s="7"/>
      <c r="C244" s="5"/>
      <c r="D244" s="5"/>
      <c r="F244" s="74"/>
      <c r="G244" s="72"/>
      <c r="H244" s="72"/>
      <c r="I244" s="14"/>
      <c r="J244" s="15"/>
      <c r="K244" s="15"/>
      <c r="L244" s="12"/>
      <c r="M244" s="12"/>
      <c r="N244" s="77"/>
      <c r="O244" s="134"/>
      <c r="P244" s="450"/>
      <c r="Q244" s="451"/>
      <c r="R244" s="496"/>
      <c r="S244" s="450"/>
      <c r="T244" s="487"/>
      <c r="U244" s="16"/>
      <c r="V244" s="135"/>
      <c r="W244" s="135"/>
      <c r="X244" s="131"/>
      <c r="Y244" s="5"/>
      <c r="Z244" s="136"/>
      <c r="AA244" s="137"/>
      <c r="AB244" s="141"/>
      <c r="AC244" s="37"/>
      <c r="AD244" s="37"/>
      <c r="AE244" s="37"/>
      <c r="AF244" s="538"/>
      <c r="AH244" s="13"/>
      <c r="AI244" s="135"/>
      <c r="AJ244" s="12"/>
      <c r="AK244" s="152"/>
      <c r="AL244" s="77"/>
      <c r="AM244" s="17"/>
      <c r="AN244" s="141"/>
      <c r="AO244" s="58"/>
      <c r="AP244" s="58"/>
      <c r="AQ244" s="58"/>
      <c r="AR244" s="282" t="s">
        <v>56</v>
      </c>
      <c r="AS244" s="282"/>
      <c r="AT244" s="282"/>
      <c r="AU244" s="291"/>
      <c r="AV244" s="292">
        <v>45698</v>
      </c>
    </row>
    <row r="245" spans="2:52" ht="15" customHeight="1" x14ac:dyDescent="0.3">
      <c r="B245" s="7"/>
      <c r="C245" s="5"/>
      <c r="D245" s="5"/>
      <c r="F245" s="159"/>
      <c r="G245" s="72"/>
      <c r="H245" s="72"/>
      <c r="I245" s="14"/>
      <c r="J245" s="15"/>
      <c r="K245" s="666"/>
      <c r="L245" s="12"/>
      <c r="M245" s="152"/>
      <c r="N245" s="77"/>
      <c r="O245" s="134"/>
      <c r="P245" s="131"/>
      <c r="Q245" s="136"/>
      <c r="R245" s="487"/>
      <c r="S245" s="131"/>
      <c r="T245" s="487"/>
      <c r="U245" s="16"/>
      <c r="V245" s="135"/>
      <c r="W245" s="135"/>
      <c r="X245" s="131"/>
      <c r="Y245" s="259"/>
      <c r="Z245" s="136"/>
      <c r="AA245" s="137"/>
      <c r="AB245" s="141"/>
      <c r="AC245" s="37"/>
      <c r="AD245" s="37"/>
      <c r="AE245" s="37"/>
      <c r="AF245" s="538"/>
      <c r="AH245" s="16"/>
      <c r="AI245" s="135"/>
      <c r="AJ245" s="135"/>
      <c r="AK245" s="277"/>
      <c r="AL245" s="259"/>
      <c r="AM245" s="137"/>
      <c r="AN245" s="141"/>
      <c r="AO245" s="58"/>
      <c r="AP245" s="58"/>
      <c r="AQ245" s="58"/>
      <c r="AR245" s="284" t="s">
        <v>57</v>
      </c>
      <c r="AS245" s="283"/>
      <c r="AT245" s="283"/>
      <c r="AU245" s="287"/>
      <c r="AV245" s="289">
        <f ca="1">SUM(AU238)</f>
        <v>45702</v>
      </c>
    </row>
    <row r="246" spans="2:52" ht="15" customHeight="1" x14ac:dyDescent="0.3">
      <c r="F246" s="74"/>
      <c r="G246" s="72"/>
      <c r="H246" s="72"/>
      <c r="I246" s="14"/>
      <c r="J246" s="15"/>
      <c r="K246" s="15"/>
      <c r="L246" s="12"/>
      <c r="M246" s="12"/>
      <c r="N246" s="77"/>
      <c r="O246" s="16"/>
      <c r="P246" s="152"/>
      <c r="Q246" s="17"/>
      <c r="R246" s="486"/>
      <c r="S246" s="152"/>
      <c r="T246" s="486"/>
      <c r="U246" s="16"/>
      <c r="V246" s="15"/>
      <c r="W246" s="12"/>
      <c r="X246" s="83"/>
      <c r="Y246" s="84"/>
      <c r="Z246" s="189"/>
      <c r="AA246" s="68"/>
      <c r="AB246" s="190"/>
      <c r="AC246" s="37"/>
      <c r="AD246" s="37"/>
      <c r="AE246" s="37"/>
      <c r="AF246" s="538"/>
      <c r="AH246" s="13"/>
      <c r="AI246" s="13"/>
      <c r="AJ246" s="12"/>
      <c r="AK246" s="12"/>
      <c r="AL246" s="12"/>
      <c r="AM246" s="12"/>
      <c r="AN246" s="202"/>
      <c r="AO246" s="58"/>
      <c r="AP246" s="58"/>
      <c r="AQ246" s="58"/>
      <c r="AR246" s="284" t="s">
        <v>58</v>
      </c>
      <c r="AS246" s="283"/>
      <c r="AT246" s="283"/>
      <c r="AU246" s="287"/>
      <c r="AV246" s="290" t="s">
        <v>59</v>
      </c>
    </row>
    <row r="247" spans="2:52" ht="15" customHeight="1" x14ac:dyDescent="0.3">
      <c r="F247" s="74"/>
      <c r="G247" s="72"/>
      <c r="H247" s="72"/>
      <c r="I247" s="14"/>
      <c r="J247" s="15"/>
      <c r="K247" s="15"/>
      <c r="L247" s="12"/>
      <c r="M247" s="12"/>
      <c r="N247" s="77"/>
      <c r="O247" s="16"/>
      <c r="P247" s="152"/>
      <c r="Q247" s="17"/>
      <c r="R247" s="486"/>
      <c r="S247" s="152"/>
      <c r="T247" s="486"/>
      <c r="U247" s="16"/>
      <c r="V247" s="15"/>
      <c r="W247" s="12"/>
      <c r="X247" s="83"/>
      <c r="Y247" s="84"/>
      <c r="Z247" s="189"/>
      <c r="AA247" s="68"/>
      <c r="AB247" s="190"/>
      <c r="AC247" s="37"/>
      <c r="AD247" s="37"/>
      <c r="AE247" s="37"/>
      <c r="AF247" s="538"/>
      <c r="AH247" s="13"/>
      <c r="AI247" s="135"/>
      <c r="AJ247" s="135"/>
      <c r="AK247" s="277"/>
      <c r="AL247" s="77"/>
      <c r="AM247" s="17"/>
      <c r="AN247" s="141"/>
      <c r="AO247" s="58"/>
      <c r="AP247" s="58"/>
      <c r="AQ247" s="58"/>
      <c r="AR247" s="284" t="s">
        <v>64</v>
      </c>
      <c r="AS247" s="283"/>
      <c r="AT247" s="283"/>
      <c r="AU247" s="287"/>
      <c r="AV247" s="294" cm="1">
        <f t="array" aca="1" ref="AV247" ca="1">NPendingEvents(AV242,AV243,AV244,AV245,AV246)</f>
        <v>3</v>
      </c>
    </row>
    <row r="248" spans="2:52" ht="15" customHeight="1" x14ac:dyDescent="0.3">
      <c r="B248" s="7"/>
      <c r="C248" s="5"/>
      <c r="D248" s="5"/>
      <c r="F248" s="74"/>
      <c r="G248" s="72"/>
      <c r="H248" s="72"/>
      <c r="I248" s="14"/>
      <c r="J248" s="15"/>
      <c r="K248" s="703"/>
      <c r="L248" s="12"/>
      <c r="M248" s="12"/>
      <c r="N248" s="77"/>
      <c r="O248" s="134"/>
      <c r="P248" s="131"/>
      <c r="Q248" s="136"/>
      <c r="R248" s="487"/>
      <c r="S248" s="131"/>
      <c r="T248" s="487"/>
      <c r="U248" s="16"/>
      <c r="V248" s="135"/>
      <c r="W248" s="135"/>
      <c r="X248" s="131"/>
      <c r="Y248" s="259"/>
      <c r="Z248" s="136"/>
      <c r="AA248" s="137"/>
      <c r="AB248" s="141"/>
      <c r="AC248" s="523"/>
      <c r="AD248" s="69"/>
      <c r="AE248" s="37"/>
      <c r="AF248" s="538"/>
      <c r="AH248" s="16"/>
      <c r="AI248" s="135"/>
      <c r="AJ248" s="135"/>
      <c r="AK248" s="277"/>
      <c r="AL248" s="259"/>
      <c r="AM248" s="137"/>
      <c r="AN248" s="141"/>
      <c r="AO248" s="58"/>
      <c r="AP248" s="58"/>
      <c r="AQ248" s="58"/>
      <c r="AR248" s="282" t="s">
        <v>66</v>
      </c>
      <c r="AS248" s="282"/>
      <c r="AT248" s="282"/>
      <c r="AU248" s="288"/>
      <c r="AV248" s="293">
        <v>0.15</v>
      </c>
    </row>
    <row r="249" spans="2:52" ht="15" customHeight="1" x14ac:dyDescent="0.3">
      <c r="F249" s="74"/>
      <c r="G249" s="72"/>
      <c r="H249" s="72"/>
      <c r="I249" s="454"/>
      <c r="J249" s="15"/>
      <c r="K249" s="15"/>
      <c r="L249" s="12"/>
      <c r="M249" s="12"/>
      <c r="N249" s="77"/>
      <c r="O249" s="16"/>
      <c r="P249" s="152"/>
      <c r="Q249" s="17"/>
      <c r="R249" s="486"/>
      <c r="S249" s="152"/>
      <c r="T249" s="486"/>
      <c r="U249" s="16"/>
      <c r="V249" s="15"/>
      <c r="W249" s="12"/>
      <c r="X249" s="83"/>
      <c r="Y249" s="84"/>
      <c r="Z249" s="189"/>
      <c r="AA249" s="68"/>
      <c r="AB249" s="190"/>
      <c r="AC249" s="37"/>
      <c r="AD249" s="37"/>
      <c r="AE249" s="37"/>
      <c r="AF249" s="538"/>
      <c r="AH249" s="13"/>
      <c r="AI249" s="135"/>
      <c r="AJ249" s="135"/>
      <c r="AK249" s="277"/>
      <c r="AL249" s="259"/>
      <c r="AM249" s="137"/>
      <c r="AN249" s="141"/>
      <c r="AO249" s="58"/>
      <c r="AP249" s="58"/>
      <c r="AQ249" s="58"/>
      <c r="AR249" s="284" t="s">
        <v>68</v>
      </c>
      <c r="AS249" s="283"/>
      <c r="AT249" s="283"/>
      <c r="AU249" s="287"/>
      <c r="AV249" s="294">
        <f>SUM(M239)</f>
        <v>2000</v>
      </c>
    </row>
    <row r="250" spans="2:52" ht="15" customHeight="1" x14ac:dyDescent="0.3">
      <c r="B250" s="7"/>
      <c r="C250" s="5"/>
      <c r="D250" s="5"/>
      <c r="F250" s="74"/>
      <c r="G250" s="72"/>
      <c r="H250" s="72"/>
      <c r="I250" s="14"/>
      <c r="J250" s="15"/>
      <c r="K250" s="15"/>
      <c r="L250" s="12"/>
      <c r="M250" s="12"/>
      <c r="N250" s="77"/>
      <c r="O250" s="134"/>
      <c r="P250" s="131"/>
      <c r="Q250" s="136"/>
      <c r="R250" s="487"/>
      <c r="S250" s="131"/>
      <c r="T250" s="487"/>
      <c r="U250" s="16"/>
      <c r="V250" s="135"/>
      <c r="W250" s="135"/>
      <c r="X250" s="131"/>
      <c r="Y250" s="259"/>
      <c r="Z250" s="136"/>
      <c r="AA250" s="137"/>
      <c r="AB250" s="141"/>
      <c r="AC250" s="37"/>
      <c r="AD250" s="37"/>
      <c r="AE250" s="37"/>
      <c r="AF250" s="538"/>
      <c r="AH250" s="13"/>
      <c r="AI250" s="13"/>
      <c r="AJ250" s="12"/>
      <c r="AK250" s="12"/>
      <c r="AL250" s="12"/>
      <c r="AM250" s="12"/>
      <c r="AN250" s="202"/>
      <c r="AO250" s="58"/>
      <c r="AP250" s="58"/>
      <c r="AQ250" s="58"/>
      <c r="AR250" s="284" t="s">
        <v>70</v>
      </c>
      <c r="AS250" s="283"/>
      <c r="AT250" s="283"/>
      <c r="AU250" s="287"/>
      <c r="AV250" s="296">
        <f>PRODUCT(AV248,AV249)</f>
        <v>300</v>
      </c>
    </row>
    <row r="251" spans="2:52" ht="15" customHeight="1" x14ac:dyDescent="0.3">
      <c r="F251" s="74"/>
      <c r="G251" s="72"/>
      <c r="H251" s="72"/>
      <c r="I251" s="14"/>
      <c r="J251" s="15"/>
      <c r="K251" s="15"/>
      <c r="L251" s="12"/>
      <c r="M251" s="12"/>
      <c r="N251" s="77"/>
      <c r="O251" s="16"/>
      <c r="P251" s="152"/>
      <c r="Q251" s="17"/>
      <c r="R251" s="486"/>
      <c r="S251" s="152"/>
      <c r="T251" s="486"/>
      <c r="U251" s="16"/>
      <c r="V251" s="15"/>
      <c r="W251" s="12"/>
      <c r="X251" s="83"/>
      <c r="Y251" s="84"/>
      <c r="Z251" s="189"/>
      <c r="AA251" s="68"/>
      <c r="AB251" s="190"/>
      <c r="AC251" s="37"/>
      <c r="AD251" s="37"/>
      <c r="AE251" s="37"/>
      <c r="AF251" s="538"/>
      <c r="AH251" s="13"/>
      <c r="AI251" s="13"/>
      <c r="AJ251" s="12"/>
      <c r="AK251" s="12"/>
      <c r="AL251" s="12"/>
      <c r="AM251" s="12"/>
      <c r="AN251" s="202"/>
      <c r="AO251" s="58"/>
      <c r="AP251" s="58"/>
      <c r="AQ251" s="58"/>
      <c r="AR251" s="284" t="s">
        <v>72</v>
      </c>
      <c r="AS251" s="283"/>
      <c r="AT251" s="283"/>
      <c r="AU251" s="287"/>
      <c r="AV251" s="296">
        <f ca="1">PRODUCT(AV250,AV247)</f>
        <v>900</v>
      </c>
    </row>
    <row r="252" spans="2:52" ht="15" customHeight="1" x14ac:dyDescent="0.3">
      <c r="F252" s="74"/>
      <c r="G252" s="72"/>
      <c r="H252" s="72"/>
      <c r="I252" s="14"/>
      <c r="J252" s="15"/>
      <c r="K252" s="15"/>
      <c r="L252" s="12"/>
      <c r="M252" s="12"/>
      <c r="N252" s="77"/>
      <c r="O252" s="16"/>
      <c r="P252" s="152"/>
      <c r="Q252" s="17"/>
      <c r="R252" s="486"/>
      <c r="S252" s="152"/>
      <c r="T252" s="486"/>
      <c r="U252" s="16"/>
      <c r="V252" s="15"/>
      <c r="W252" s="12"/>
      <c r="X252" s="83"/>
      <c r="Y252" s="84"/>
      <c r="Z252" s="189"/>
      <c r="AA252" s="68"/>
      <c r="AB252" s="190"/>
      <c r="AC252" s="37"/>
      <c r="AD252" s="37"/>
      <c r="AE252" s="37"/>
      <c r="AF252" s="538"/>
      <c r="AH252" s="13"/>
      <c r="AI252" s="13"/>
      <c r="AJ252" s="12"/>
      <c r="AK252" s="12"/>
      <c r="AL252" s="12"/>
      <c r="AM252" s="12"/>
      <c r="AN252" s="202"/>
      <c r="AO252" s="58"/>
      <c r="AP252" s="58"/>
      <c r="AQ252" s="58"/>
    </row>
    <row r="253" spans="2:52" ht="15" customHeight="1" x14ac:dyDescent="0.3">
      <c r="F253" s="74"/>
      <c r="G253" s="72"/>
      <c r="H253" s="72"/>
      <c r="I253" s="463"/>
      <c r="J253" s="15"/>
      <c r="K253" s="15"/>
      <c r="L253" s="12"/>
      <c r="M253" s="12"/>
      <c r="N253" s="526"/>
      <c r="O253" s="16"/>
      <c r="P253" s="152"/>
      <c r="Q253" s="17"/>
      <c r="R253" s="486"/>
      <c r="S253" s="152"/>
      <c r="T253" s="486"/>
      <c r="U253" s="16"/>
      <c r="V253" s="15"/>
      <c r="W253" s="12"/>
      <c r="X253" s="83"/>
      <c r="Y253" s="84"/>
      <c r="Z253" s="189"/>
      <c r="AA253" s="68"/>
      <c r="AB253" s="190"/>
      <c r="AC253" s="37"/>
      <c r="AD253" s="37"/>
      <c r="AE253" s="37"/>
      <c r="AF253" s="538"/>
      <c r="AH253" s="13"/>
      <c r="AI253" s="13"/>
      <c r="AJ253" s="12"/>
      <c r="AK253" s="12"/>
      <c r="AL253" s="12"/>
      <c r="AM253" s="12"/>
      <c r="AN253" s="202"/>
      <c r="AO253" s="58"/>
      <c r="AP253" s="58"/>
      <c r="AQ253" s="58"/>
      <c r="AR253" s="298" t="s">
        <v>73</v>
      </c>
      <c r="AS253" s="284"/>
      <c r="AT253" s="284"/>
      <c r="AU253" s="302"/>
      <c r="AV253" s="295"/>
    </row>
    <row r="254" spans="2:52" ht="15" customHeight="1" x14ac:dyDescent="0.3">
      <c r="F254" s="74"/>
      <c r="G254" s="72"/>
      <c r="H254" s="72"/>
      <c r="I254" s="527"/>
      <c r="J254" s="15"/>
      <c r="K254" s="15"/>
      <c r="L254" s="12"/>
      <c r="M254" s="12"/>
      <c r="N254" s="526"/>
      <c r="O254" s="16"/>
      <c r="P254" s="152"/>
      <c r="Q254" s="17"/>
      <c r="R254" s="486"/>
      <c r="S254" s="152"/>
      <c r="T254" s="486"/>
      <c r="U254" s="16"/>
      <c r="V254" s="15"/>
      <c r="W254" s="12"/>
      <c r="X254" s="83"/>
      <c r="Y254" s="84"/>
      <c r="Z254" s="189"/>
      <c r="AA254" s="68"/>
      <c r="AB254" s="190"/>
      <c r="AC254" s="37"/>
      <c r="AD254" s="37"/>
      <c r="AE254" s="37"/>
      <c r="AF254" s="538"/>
      <c r="AH254" s="13"/>
      <c r="AI254" s="13"/>
      <c r="AJ254" s="12"/>
      <c r="AK254" s="12"/>
      <c r="AL254" s="12"/>
      <c r="AM254" s="12"/>
      <c r="AN254" s="202"/>
      <c r="AO254" s="58"/>
      <c r="AP254" s="58"/>
      <c r="AQ254" s="58"/>
      <c r="AR254" s="284" t="s">
        <v>53</v>
      </c>
      <c r="AS254" s="284"/>
      <c r="AT254" s="284"/>
      <c r="AU254" s="302"/>
      <c r="AV254" s="289">
        <f>SUM(AU237)</f>
        <v>45688</v>
      </c>
    </row>
    <row r="255" spans="2:52" ht="15" customHeight="1" x14ac:dyDescent="0.3">
      <c r="B255" s="7"/>
      <c r="C255" s="5"/>
      <c r="D255" s="5"/>
      <c r="F255" s="448"/>
      <c r="G255" s="72"/>
      <c r="H255" s="72"/>
      <c r="I255" s="14"/>
      <c r="J255" s="15"/>
      <c r="K255" s="703"/>
      <c r="L255" s="12"/>
      <c r="M255" s="152"/>
      <c r="N255" s="77"/>
      <c r="O255" s="81"/>
      <c r="P255" s="83"/>
      <c r="Q255" s="189"/>
      <c r="R255" s="494"/>
      <c r="S255" s="83"/>
      <c r="T255" s="494"/>
      <c r="U255" s="348"/>
      <c r="V255" s="332"/>
      <c r="W255" s="332"/>
      <c r="X255" s="450"/>
      <c r="Y255" s="667"/>
      <c r="Z255" s="451"/>
      <c r="AA255" s="452"/>
      <c r="AB255" s="453"/>
      <c r="AC255" s="37"/>
      <c r="AD255" s="37"/>
      <c r="AE255" s="37"/>
      <c r="AF255" s="538"/>
      <c r="AH255" s="13"/>
      <c r="AI255" s="13"/>
      <c r="AJ255" s="12"/>
      <c r="AK255" s="12"/>
      <c r="AL255" s="12"/>
      <c r="AM255" s="12"/>
      <c r="AN255" s="202"/>
      <c r="AO255" s="58"/>
      <c r="AP255" s="58"/>
      <c r="AQ255" s="58"/>
      <c r="AR255" s="284" t="s">
        <v>55</v>
      </c>
      <c r="AS255" s="284"/>
      <c r="AT255" s="284"/>
      <c r="AU255" s="302"/>
      <c r="AV255" s="289">
        <f>SUM(AU239)</f>
        <v>46038</v>
      </c>
    </row>
    <row r="256" spans="2:52" ht="15" customHeight="1" x14ac:dyDescent="0.3">
      <c r="B256" s="7"/>
      <c r="C256" s="5"/>
      <c r="D256" s="5"/>
      <c r="F256" s="448"/>
      <c r="G256" s="72"/>
      <c r="H256" s="72"/>
      <c r="I256" s="14"/>
      <c r="J256" s="15"/>
      <c r="K256" s="703"/>
      <c r="L256" s="12"/>
      <c r="M256" s="152"/>
      <c r="N256" s="77"/>
      <c r="O256" s="81"/>
      <c r="P256" s="83"/>
      <c r="Q256" s="189"/>
      <c r="R256" s="494"/>
      <c r="S256" s="83"/>
      <c r="T256" s="494"/>
      <c r="U256" s="348"/>
      <c r="V256" s="332"/>
      <c r="W256" s="332"/>
      <c r="X256" s="450"/>
      <c r="Y256" s="667"/>
      <c r="Z256" s="451"/>
      <c r="AA256" s="452"/>
      <c r="AB256" s="453"/>
      <c r="AC256" s="37"/>
      <c r="AD256" s="37"/>
      <c r="AE256" s="37"/>
      <c r="AF256" s="538"/>
      <c r="AH256" s="13"/>
      <c r="AI256" s="13"/>
      <c r="AJ256" s="12"/>
      <c r="AK256" s="12"/>
      <c r="AL256" s="12"/>
      <c r="AM256" s="12"/>
      <c r="AN256" s="202"/>
      <c r="AO256" s="58"/>
      <c r="AP256" s="58"/>
      <c r="AQ256" s="58"/>
      <c r="AR256" s="282" t="s">
        <v>74</v>
      </c>
      <c r="AS256" s="282"/>
      <c r="AT256" s="282"/>
      <c r="AU256" s="288"/>
      <c r="AV256" s="303">
        <v>45723</v>
      </c>
    </row>
    <row r="257" spans="2:49" ht="15" customHeight="1" x14ac:dyDescent="0.3">
      <c r="B257" s="7"/>
      <c r="C257" s="5"/>
      <c r="D257" s="5"/>
      <c r="F257" s="448"/>
      <c r="G257" s="72"/>
      <c r="H257" s="72"/>
      <c r="I257" s="14"/>
      <c r="J257" s="15"/>
      <c r="K257" s="703"/>
      <c r="L257" s="12"/>
      <c r="M257" s="152"/>
      <c r="N257" s="77"/>
      <c r="O257" s="81"/>
      <c r="P257" s="83"/>
      <c r="Q257" s="189"/>
      <c r="R257" s="494"/>
      <c r="S257" s="83"/>
      <c r="T257" s="494"/>
      <c r="U257" s="348"/>
      <c r="V257" s="332"/>
      <c r="W257" s="332"/>
      <c r="X257" s="450"/>
      <c r="Y257" s="667"/>
      <c r="Z257" s="451"/>
      <c r="AA257" s="452"/>
      <c r="AB257" s="453"/>
      <c r="AC257" s="37"/>
      <c r="AD257" s="37"/>
      <c r="AE257" s="37"/>
      <c r="AF257" s="538"/>
      <c r="AH257" s="13"/>
      <c r="AI257" s="13"/>
      <c r="AJ257" s="12"/>
      <c r="AK257" s="12"/>
      <c r="AL257" s="12"/>
      <c r="AM257" s="12"/>
      <c r="AN257" s="202"/>
      <c r="AO257" s="58"/>
      <c r="AP257" s="58"/>
      <c r="AQ257" s="58"/>
      <c r="AR257" s="284" t="s">
        <v>57</v>
      </c>
      <c r="AS257" s="283"/>
      <c r="AT257" s="283"/>
      <c r="AU257" s="287"/>
      <c r="AV257" s="289">
        <f ca="1">SUM(AU238)</f>
        <v>45702</v>
      </c>
    </row>
    <row r="258" spans="2:49" ht="15" customHeight="1" x14ac:dyDescent="0.3">
      <c r="F258" s="74"/>
      <c r="G258" s="72"/>
      <c r="H258" s="12"/>
      <c r="I258" s="12"/>
      <c r="J258" s="12"/>
      <c r="K258" s="17"/>
      <c r="L258" s="17"/>
      <c r="M258" s="17"/>
      <c r="N258" s="77"/>
      <c r="O258" s="16"/>
      <c r="P258" s="152"/>
      <c r="Q258" s="17"/>
      <c r="R258" s="486"/>
      <c r="S258" s="152"/>
      <c r="T258" s="486"/>
      <c r="U258" s="16"/>
      <c r="V258" s="15"/>
      <c r="W258" s="12"/>
      <c r="X258" s="83"/>
      <c r="Y258" s="84"/>
      <c r="Z258" s="189"/>
      <c r="AA258" s="68"/>
      <c r="AB258" s="190"/>
      <c r="AC258" s="355"/>
      <c r="AD258" s="37"/>
      <c r="AE258" s="37"/>
      <c r="AF258" s="538"/>
      <c r="AH258" s="13"/>
      <c r="AI258" s="13"/>
      <c r="AJ258" s="12"/>
      <c r="AK258" s="12"/>
      <c r="AL258" s="12"/>
      <c r="AM258" s="12"/>
      <c r="AN258" s="202"/>
      <c r="AO258" s="58"/>
      <c r="AP258" s="58"/>
      <c r="AQ258" s="58"/>
      <c r="AR258" s="284" t="s">
        <v>58</v>
      </c>
      <c r="AS258" s="283"/>
      <c r="AT258" s="283"/>
      <c r="AU258" s="287"/>
      <c r="AV258" s="290" t="s">
        <v>75</v>
      </c>
    </row>
    <row r="259" spans="2:49" ht="15" customHeight="1" x14ac:dyDescent="0.3">
      <c r="F259" s="74"/>
      <c r="G259" s="72"/>
      <c r="H259" s="12"/>
      <c r="I259" s="12"/>
      <c r="J259" s="12"/>
      <c r="K259" s="17"/>
      <c r="L259" s="17"/>
      <c r="M259" s="17"/>
      <c r="N259" s="77"/>
      <c r="O259" s="16"/>
      <c r="P259" s="152"/>
      <c r="Q259" s="17"/>
      <c r="R259" s="486"/>
      <c r="S259" s="126" t="s">
        <v>169</v>
      </c>
      <c r="T259" s="628">
        <f ca="1">SUM(T233:T258)</f>
        <v>151740</v>
      </c>
      <c r="U259" s="16"/>
      <c r="V259" s="15"/>
      <c r="W259" s="629" t="s">
        <v>166</v>
      </c>
      <c r="X259" s="503"/>
      <c r="Y259" s="194"/>
      <c r="Z259" s="552"/>
      <c r="AA259" s="490">
        <f ca="1">PRODUCT(T259,1/AB261)</f>
        <v>10838.571428571428</v>
      </c>
      <c r="AB259" s="312"/>
      <c r="AC259" s="198">
        <f>SUM(R241)</f>
        <v>22100</v>
      </c>
      <c r="AD259" s="37"/>
      <c r="AE259" s="37"/>
      <c r="AF259" s="538"/>
      <c r="AH259" s="13"/>
      <c r="AI259" s="13"/>
      <c r="AJ259" s="12"/>
      <c r="AK259" s="12"/>
      <c r="AL259" s="12"/>
      <c r="AM259" s="12"/>
      <c r="AN259" s="202"/>
      <c r="AO259" s="58"/>
      <c r="AP259" s="58"/>
      <c r="AQ259" s="58"/>
      <c r="AR259" s="284" t="s">
        <v>76</v>
      </c>
      <c r="AS259" s="283"/>
      <c r="AT259" s="283"/>
      <c r="AU259" s="287"/>
      <c r="AV259" s="294" cm="1">
        <f t="array" aca="1" ref="AV259" ca="1">NPendingEvents(AV254,AV255,AV256,AV257,AV258)</f>
        <v>11</v>
      </c>
    </row>
    <row r="260" spans="2:49" ht="15" customHeight="1" x14ac:dyDescent="0.3">
      <c r="F260" s="74"/>
      <c r="G260" s="72"/>
      <c r="H260" s="72"/>
      <c r="I260" s="14"/>
      <c r="J260" s="15"/>
      <c r="K260" s="15"/>
      <c r="L260" s="12"/>
      <c r="M260" s="12"/>
      <c r="N260" s="77"/>
      <c r="O260" s="16"/>
      <c r="P260" s="152"/>
      <c r="Q260" s="17"/>
      <c r="R260" s="486"/>
      <c r="S260" s="152"/>
      <c r="T260" s="486"/>
      <c r="U260" s="16"/>
      <c r="V260" s="15"/>
      <c r="W260" s="115" t="s">
        <v>193</v>
      </c>
      <c r="X260" s="103"/>
      <c r="Y260" s="113"/>
      <c r="Z260" s="114"/>
      <c r="AA260" s="113"/>
      <c r="AB260" s="142">
        <f>SUM(AB237:AB258)</f>
        <v>-590.00000000000011</v>
      </c>
      <c r="AD260" s="198">
        <f>SUM(AB260)</f>
        <v>-590.00000000000011</v>
      </c>
      <c r="AE260" s="37"/>
      <c r="AF260" s="538"/>
      <c r="AH260" s="13"/>
      <c r="AI260" s="13"/>
      <c r="AJ260" s="12"/>
      <c r="AK260" s="12"/>
      <c r="AL260" s="12"/>
      <c r="AM260" s="12"/>
      <c r="AN260" s="202"/>
      <c r="AO260" s="58"/>
      <c r="AP260" s="58"/>
      <c r="AQ260" s="58"/>
      <c r="AR260" s="282" t="s">
        <v>77</v>
      </c>
      <c r="AS260" s="282"/>
      <c r="AT260" s="282"/>
      <c r="AU260" s="288"/>
      <c r="AV260" s="65">
        <v>0.15</v>
      </c>
    </row>
    <row r="261" spans="2:49" ht="15" customHeight="1" x14ac:dyDescent="0.3">
      <c r="F261" s="74"/>
      <c r="G261" s="72"/>
      <c r="H261" s="72"/>
      <c r="I261" s="14"/>
      <c r="J261" s="15"/>
      <c r="K261" s="15"/>
      <c r="L261" s="12"/>
      <c r="M261" s="12"/>
      <c r="N261" s="77"/>
      <c r="O261" s="16"/>
      <c r="P261" s="152"/>
      <c r="Q261" s="17"/>
      <c r="R261" s="486"/>
      <c r="S261" s="152"/>
      <c r="T261" s="486"/>
      <c r="U261" s="16"/>
      <c r="V261" s="15"/>
      <c r="W261" s="115" t="s">
        <v>85</v>
      </c>
      <c r="X261" s="103"/>
      <c r="Y261" s="115"/>
      <c r="Z261" s="115"/>
      <c r="AA261" s="113"/>
      <c r="AB261" s="143">
        <f ca="1">_xlfn.DAYS(AB234,AB233)</f>
        <v>14</v>
      </c>
      <c r="AC261" s="37"/>
      <c r="AD261" s="37"/>
      <c r="AE261" s="37"/>
      <c r="AF261" s="538"/>
      <c r="AH261" s="13"/>
      <c r="AI261" s="13"/>
      <c r="AJ261" s="12"/>
      <c r="AK261" s="12"/>
      <c r="AL261" s="12"/>
      <c r="AM261" s="12"/>
      <c r="AN261" s="202"/>
      <c r="AO261" s="58"/>
      <c r="AP261" s="58"/>
      <c r="AQ261" s="58"/>
      <c r="AR261" s="284" t="s">
        <v>68</v>
      </c>
      <c r="AS261" s="283"/>
      <c r="AT261" s="283"/>
      <c r="AU261" s="287"/>
      <c r="AV261" s="294">
        <f>SUM(M239)</f>
        <v>2000</v>
      </c>
    </row>
    <row r="262" spans="2:49" ht="15" customHeight="1" x14ac:dyDescent="0.3">
      <c r="F262" s="74"/>
      <c r="G262" s="72"/>
      <c r="H262" s="72"/>
      <c r="I262" s="14"/>
      <c r="J262" s="15"/>
      <c r="K262" s="15"/>
      <c r="L262" s="12"/>
      <c r="M262" s="12"/>
      <c r="N262" s="77"/>
      <c r="O262" s="16"/>
      <c r="P262" s="152"/>
      <c r="Q262" s="17"/>
      <c r="R262" s="486"/>
      <c r="S262" s="152"/>
      <c r="T262" s="486"/>
      <c r="U262" s="16"/>
      <c r="V262" s="15"/>
      <c r="W262" s="629" t="s">
        <v>194</v>
      </c>
      <c r="X262" s="503"/>
      <c r="Y262" s="194"/>
      <c r="Z262" s="552"/>
      <c r="AA262" s="194"/>
      <c r="AB262" s="633">
        <f ca="1">PRODUCT(AB260,100,1/AA259)</f>
        <v>-5.4435218136285766</v>
      </c>
      <c r="AC262" s="37"/>
      <c r="AD262" s="37"/>
      <c r="AE262" s="37"/>
      <c r="AF262" s="538"/>
      <c r="AH262" s="13"/>
      <c r="AI262" s="13"/>
      <c r="AJ262" s="12"/>
      <c r="AK262" s="12"/>
      <c r="AL262" s="194"/>
      <c r="AM262" s="194" t="s">
        <v>78</v>
      </c>
      <c r="AN262" s="285">
        <f ca="1">SUM(AV251)</f>
        <v>900</v>
      </c>
      <c r="AO262" s="58"/>
      <c r="AP262" s="58"/>
      <c r="AQ262" s="58"/>
      <c r="AR262" s="284" t="s">
        <v>80</v>
      </c>
      <c r="AS262" s="283"/>
      <c r="AT262" s="283"/>
      <c r="AU262" s="287"/>
      <c r="AV262" s="296">
        <f>PRODUCT(AV260,AV261)</f>
        <v>300</v>
      </c>
    </row>
    <row r="263" spans="2:49" ht="37.799999999999997" customHeight="1" thickBot="1" x14ac:dyDescent="0.35">
      <c r="F263" s="31"/>
      <c r="G263" s="32"/>
      <c r="H263" s="32"/>
      <c r="I263" s="28"/>
      <c r="J263" s="28"/>
      <c r="K263" s="28"/>
      <c r="L263" s="28"/>
      <c r="M263" s="28"/>
      <c r="N263" s="28"/>
      <c r="O263" s="33"/>
      <c r="P263" s="475"/>
      <c r="Q263" s="507"/>
      <c r="R263" s="495"/>
      <c r="S263" s="475"/>
      <c r="T263" s="495"/>
      <c r="U263" s="33"/>
      <c r="V263" s="28"/>
      <c r="W263" s="634" t="s">
        <v>195</v>
      </c>
      <c r="X263" s="635"/>
      <c r="Y263" s="605"/>
      <c r="Z263" s="605"/>
      <c r="AA263" s="605"/>
      <c r="AB263" s="636">
        <f ca="1">PRODUCT(AB262,365,1/AB261)</f>
        <v>-141.92039014103074</v>
      </c>
      <c r="AC263"/>
      <c r="AD263"/>
      <c r="AE263"/>
      <c r="AF263" s="538"/>
      <c r="AH263" s="205"/>
      <c r="AI263" s="205"/>
      <c r="AJ263" s="145"/>
      <c r="AK263" s="145"/>
      <c r="AL263" s="374"/>
      <c r="AM263" s="374" t="s">
        <v>79</v>
      </c>
      <c r="AN263" s="285">
        <f ca="1">PRODUCT(AV263)</f>
        <v>3300</v>
      </c>
      <c r="AR263" s="284" t="s">
        <v>82</v>
      </c>
      <c r="AS263" s="283"/>
      <c r="AT263" s="283"/>
      <c r="AU263" s="287"/>
      <c r="AV263" s="296">
        <f ca="1">PRODUCT(AV259,AV262)</f>
        <v>3300</v>
      </c>
      <c r="AW263" s="300"/>
    </row>
    <row r="264" spans="2:49" ht="15" customHeight="1" x14ac:dyDescent="0.3">
      <c r="F264" s="21"/>
      <c r="G264" s="21"/>
      <c r="H264" s="21"/>
      <c r="K264" s="1"/>
      <c r="L264" s="1"/>
      <c r="M264" s="1"/>
      <c r="N264" s="1"/>
      <c r="O264" s="4"/>
      <c r="U264" s="4"/>
      <c r="V264" s="1"/>
      <c r="AE264"/>
      <c r="AF264" s="538"/>
      <c r="AH264" s="67"/>
      <c r="AI264" s="242"/>
      <c r="AJ264" s="242"/>
      <c r="AK264" s="235"/>
      <c r="AL264" s="235"/>
      <c r="AM264" s="236" t="s">
        <v>81</v>
      </c>
      <c r="AN264" s="241">
        <f ca="1">SUM(AA237:AA261)</f>
        <v>10838.571428571428</v>
      </c>
      <c r="AW264" s="24"/>
    </row>
    <row r="265" spans="2:49" ht="15" customHeight="1" x14ac:dyDescent="0.3">
      <c r="F265" s="21"/>
      <c r="G265" s="21"/>
      <c r="H265" s="21"/>
      <c r="I265" s="417" t="s">
        <v>83</v>
      </c>
      <c r="J265" s="418">
        <v>45723</v>
      </c>
      <c r="K265" s="1"/>
      <c r="L265" s="78"/>
      <c r="M265" s="78"/>
      <c r="N265" s="1"/>
      <c r="O265" s="4"/>
      <c r="U265" s="4"/>
      <c r="V265" s="1"/>
      <c r="AE265" s="354"/>
      <c r="AF265" s="537"/>
      <c r="AH265" s="2"/>
      <c r="AI265" s="5"/>
      <c r="AJ265" s="5"/>
      <c r="AK265" s="36"/>
      <c r="AL265" s="36"/>
      <c r="AM265" s="114" t="s">
        <v>84</v>
      </c>
      <c r="AN265" s="142">
        <f ca="1">SUM(AN236:AN263)</f>
        <v>4200</v>
      </c>
      <c r="AO265" s="2"/>
      <c r="AP265" s="142">
        <f ca="1">AN265</f>
        <v>4200</v>
      </c>
      <c r="AQ265" s="2"/>
      <c r="AW265" s="24"/>
    </row>
    <row r="266" spans="2:49" ht="15" customHeight="1" x14ac:dyDescent="0.3">
      <c r="F266" s="21"/>
      <c r="G266" s="21"/>
      <c r="H266" s="21"/>
      <c r="K266" s="1"/>
      <c r="L266" s="78"/>
      <c r="M266" s="78"/>
      <c r="N266" s="1"/>
      <c r="O266" s="4"/>
      <c r="U266" s="4"/>
      <c r="V266" s="1"/>
      <c r="AC266" s="37"/>
      <c r="AD266" s="37"/>
      <c r="AE266" s="37"/>
      <c r="AF266" s="538"/>
      <c r="AH266" s="2"/>
      <c r="AI266" s="5"/>
      <c r="AJ266" s="5"/>
      <c r="AK266" s="36"/>
      <c r="AL266" s="36"/>
      <c r="AM266" s="114" t="s">
        <v>86</v>
      </c>
      <c r="AN266" s="143">
        <f>_xlfn.DAYS(AN234,AN233)</f>
        <v>350</v>
      </c>
      <c r="AW266" s="24"/>
    </row>
    <row r="267" spans="2:49" ht="15" customHeight="1" x14ac:dyDescent="0.3">
      <c r="F267" s="21"/>
      <c r="G267" s="21"/>
      <c r="H267" s="21"/>
      <c r="K267" s="1"/>
      <c r="L267" s="78"/>
      <c r="M267" s="78"/>
      <c r="N267" s="1"/>
      <c r="O267" s="4"/>
      <c r="U267" s="4"/>
      <c r="V267" s="1"/>
      <c r="AC267" s="71"/>
      <c r="AD267" s="71"/>
      <c r="AE267" s="71"/>
      <c r="AF267" s="539"/>
      <c r="AH267" s="414"/>
      <c r="AI267" s="70"/>
      <c r="AJ267" s="70"/>
      <c r="AK267" s="36"/>
      <c r="AL267" s="36"/>
      <c r="AM267" s="114" t="s">
        <v>88</v>
      </c>
      <c r="AN267" s="149">
        <f ca="1">PRODUCT(AN265,100,1/AN264)</f>
        <v>38.750494266508504</v>
      </c>
      <c r="AW267" s="24"/>
    </row>
    <row r="268" spans="2:49" ht="15" customHeight="1" thickBot="1" x14ac:dyDescent="0.35">
      <c r="F268" s="21"/>
      <c r="G268" s="21"/>
      <c r="H268" s="21"/>
      <c r="K268" s="1"/>
      <c r="L268" s="78"/>
      <c r="M268" s="78"/>
      <c r="N268" s="1"/>
      <c r="O268" s="4"/>
      <c r="U268" s="4"/>
      <c r="V268" s="1"/>
      <c r="AC268"/>
      <c r="AD268"/>
      <c r="AE268"/>
      <c r="AF268" s="538"/>
      <c r="AH268" s="2"/>
      <c r="AI268" s="5"/>
      <c r="AJ268" s="5"/>
      <c r="AK268" s="147"/>
      <c r="AL268" s="147"/>
      <c r="AM268" s="267" t="s">
        <v>90</v>
      </c>
      <c r="AN268" s="373">
        <f ca="1">PRODUCT(AN267,365,1/AN266)</f>
        <v>40.411229735073157</v>
      </c>
      <c r="AV268" s="21"/>
      <c r="AW268" s="286"/>
    </row>
    <row r="269" spans="2:49" ht="15" customHeight="1" thickTop="1" x14ac:dyDescent="0.3">
      <c r="F269" s="223"/>
      <c r="G269" s="22"/>
      <c r="H269" s="22"/>
    </row>
    <row r="270" spans="2:49" ht="15" customHeight="1" x14ac:dyDescent="0.3">
      <c r="F270" s="223"/>
      <c r="G270" s="22"/>
      <c r="H270" s="22"/>
    </row>
    <row r="271" spans="2:49" ht="15" customHeight="1" x14ac:dyDescent="0.3">
      <c r="F271" s="223"/>
      <c r="G271" s="22"/>
      <c r="H271" s="22"/>
    </row>
    <row r="272" spans="2:49" ht="15" customHeight="1" thickBot="1" x14ac:dyDescent="0.35">
      <c r="F272" s="223"/>
      <c r="G272" s="22"/>
      <c r="H272" s="22"/>
    </row>
    <row r="273" spans="2:53" ht="15" customHeight="1" thickTop="1" x14ac:dyDescent="0.3">
      <c r="F273" s="937" t="s">
        <v>259</v>
      </c>
      <c r="G273" s="921"/>
      <c r="H273" s="921"/>
      <c r="I273" s="921"/>
      <c r="J273" s="921"/>
      <c r="K273" s="921"/>
      <c r="L273" s="921"/>
      <c r="M273" s="921"/>
      <c r="N273" s="921"/>
      <c r="O273" s="921"/>
      <c r="P273" s="921"/>
      <c r="Q273" s="921"/>
      <c r="R273" s="921"/>
      <c r="S273" s="921"/>
      <c r="T273" s="921"/>
      <c r="U273" s="921"/>
      <c r="V273" s="921"/>
      <c r="W273" s="921"/>
      <c r="X273" s="938"/>
      <c r="Y273" s="939"/>
      <c r="Z273" s="323"/>
      <c r="AA273" s="324" t="s">
        <v>5</v>
      </c>
      <c r="AB273" s="325">
        <v>45627</v>
      </c>
      <c r="AC273" s="24"/>
      <c r="AD273" s="24"/>
      <c r="AE273" s="24"/>
      <c r="AF273" s="538"/>
      <c r="AH273" s="23"/>
      <c r="AK273" s="918"/>
      <c r="AL273" s="919"/>
      <c r="AN273" s="55"/>
    </row>
    <row r="274" spans="2:53" ht="15" customHeight="1" thickBot="1" x14ac:dyDescent="0.35">
      <c r="F274" s="940"/>
      <c r="G274" s="941"/>
      <c r="H274" s="941"/>
      <c r="I274" s="941"/>
      <c r="J274" s="941"/>
      <c r="K274" s="941"/>
      <c r="L274" s="941"/>
      <c r="M274" s="941"/>
      <c r="N274" s="941"/>
      <c r="O274" s="941"/>
      <c r="P274" s="941"/>
      <c r="Q274" s="941"/>
      <c r="R274" s="941"/>
      <c r="S274" s="941"/>
      <c r="T274" s="941"/>
      <c r="U274" s="941"/>
      <c r="V274" s="941"/>
      <c r="W274" s="941"/>
      <c r="X274" s="942"/>
      <c r="Y274" s="943"/>
      <c r="Z274" s="800"/>
      <c r="AA274" s="801" t="s">
        <v>119</v>
      </c>
      <c r="AB274" s="444">
        <v>45665</v>
      </c>
      <c r="AC274"/>
      <c r="AD274" s="389">
        <v>-633.29999999999995</v>
      </c>
      <c r="AE274"/>
      <c r="AF274" s="538"/>
      <c r="AH274" s="388"/>
      <c r="AI274" s="391"/>
      <c r="AJ274" s="392"/>
      <c r="AK274" s="919"/>
      <c r="AL274" s="919"/>
      <c r="AM274" s="297"/>
      <c r="AN274" s="55"/>
      <c r="AP274" s="80">
        <f>AD274</f>
        <v>-633.29999999999995</v>
      </c>
    </row>
    <row r="275" spans="2:53" ht="15" customHeight="1" thickTop="1" x14ac:dyDescent="0.3">
      <c r="M275" s="21"/>
      <c r="N275" s="109"/>
      <c r="O275" s="21"/>
      <c r="U275" s="21"/>
      <c r="V275" s="21"/>
      <c r="W275" s="21"/>
      <c r="X275" s="21"/>
      <c r="Y275" s="21"/>
      <c r="Z275" s="21"/>
      <c r="AA275" s="21"/>
      <c r="AR275" s="390"/>
      <c r="AS275" s="386"/>
      <c r="AT275" s="386"/>
      <c r="AU275" s="387"/>
      <c r="AV275" s="362"/>
      <c r="AW275" s="386"/>
      <c r="AX275" s="386"/>
      <c r="AY275" s="386"/>
      <c r="AZ275" s="386"/>
      <c r="BA275" s="386"/>
    </row>
    <row r="276" spans="2:53" x14ac:dyDescent="0.3">
      <c r="M276" s="2"/>
      <c r="N276" s="109"/>
      <c r="O276" s="21"/>
      <c r="U276" s="21"/>
      <c r="V276" s="21"/>
      <c r="W276" s="21"/>
      <c r="X276" s="21"/>
      <c r="Y276" s="21"/>
      <c r="Z276" s="21"/>
      <c r="AA276" s="21"/>
      <c r="AR276" s="390"/>
      <c r="AS276" s="386"/>
      <c r="AT276" s="386"/>
      <c r="AU276" s="387"/>
      <c r="AV276" s="362"/>
      <c r="AW276" s="386"/>
      <c r="AX276" s="386"/>
      <c r="AY276" s="386"/>
      <c r="AZ276" s="386"/>
      <c r="BA276" s="386"/>
    </row>
    <row r="277" spans="2:53" ht="15" thickBot="1" x14ac:dyDescent="0.35">
      <c r="AR277" s="390"/>
      <c r="AS277" s="386"/>
      <c r="AT277" s="386"/>
      <c r="AU277" s="387"/>
      <c r="AV277" s="362"/>
      <c r="AW277" s="386"/>
      <c r="AX277" s="386"/>
      <c r="AY277" s="386"/>
      <c r="AZ277" s="386"/>
      <c r="BA277" s="386"/>
    </row>
    <row r="278" spans="2:53" ht="15" thickTop="1" x14ac:dyDescent="0.3">
      <c r="F278" s="91" t="s">
        <v>120</v>
      </c>
      <c r="G278" s="92"/>
      <c r="H278" s="92" t="s">
        <v>121</v>
      </c>
      <c r="I278" s="926" t="s">
        <v>122</v>
      </c>
      <c r="J278" s="926"/>
      <c r="K278" s="926"/>
      <c r="L278" s="926"/>
      <c r="M278" s="164"/>
      <c r="N278" s="165"/>
      <c r="O278" s="166" t="s">
        <v>3</v>
      </c>
      <c r="P278" s="471"/>
      <c r="Q278" s="502"/>
      <c r="R278" s="489"/>
      <c r="S278" s="471"/>
      <c r="T278" s="489"/>
      <c r="U278" s="167"/>
      <c r="V278" s="168"/>
      <c r="W278" s="93"/>
      <c r="X278" s="892" t="s">
        <v>118</v>
      </c>
      <c r="Y278" s="893"/>
      <c r="Z278" s="323"/>
      <c r="AA278" s="324" t="s">
        <v>5</v>
      </c>
      <c r="AB278" s="325" t="s">
        <v>142</v>
      </c>
      <c r="AC278" s="24"/>
      <c r="AD278" s="24"/>
      <c r="AE278" s="24"/>
      <c r="AF278" s="538"/>
      <c r="AH278" s="23"/>
      <c r="AK278" s="918"/>
      <c r="AL278" s="919"/>
      <c r="AN278" s="55"/>
      <c r="AR278" s="390"/>
      <c r="AS278" s="386"/>
      <c r="AT278" s="386"/>
      <c r="AU278" s="387"/>
      <c r="AV278" s="362"/>
      <c r="AW278" s="386"/>
      <c r="AX278" s="386"/>
      <c r="AY278" s="386"/>
      <c r="AZ278" s="386"/>
      <c r="BA278" s="386"/>
    </row>
    <row r="279" spans="2:53" ht="15" thickBot="1" x14ac:dyDescent="0.35">
      <c r="F279" s="169" t="s">
        <v>123</v>
      </c>
      <c r="G279" s="170"/>
      <c r="H279" s="170"/>
      <c r="I279" s="927"/>
      <c r="J279" s="927"/>
      <c r="K279" s="927"/>
      <c r="L279" s="927"/>
      <c r="M279" s="115"/>
      <c r="N279" s="171"/>
      <c r="O279" s="172" t="s">
        <v>6</v>
      </c>
      <c r="P279" s="472"/>
      <c r="Q279" s="503"/>
      <c r="R279" s="490"/>
      <c r="S279" s="472"/>
      <c r="T279" s="490"/>
      <c r="U279" s="173"/>
      <c r="V279" s="174"/>
      <c r="W279" s="175"/>
      <c r="X279" s="894"/>
      <c r="Y279" s="895"/>
      <c r="Z279" s="209"/>
      <c r="AA279" s="384" t="s">
        <v>119</v>
      </c>
      <c r="AB279" s="385">
        <v>45665</v>
      </c>
      <c r="AC279"/>
      <c r="AD279" s="296">
        <v>-804.8</v>
      </c>
      <c r="AE279"/>
      <c r="AF279" s="538"/>
      <c r="AH279" s="388"/>
      <c r="AI279" s="391"/>
      <c r="AJ279" s="392"/>
      <c r="AK279" s="919"/>
      <c r="AL279" s="919"/>
      <c r="AM279" s="297"/>
      <c r="AN279" s="55"/>
      <c r="AO279" s="19"/>
      <c r="AP279" s="80">
        <f>AD279</f>
        <v>-804.8</v>
      </c>
      <c r="AQ279" s="19"/>
      <c r="AR279" s="390"/>
      <c r="AS279" s="386"/>
      <c r="AT279" s="386"/>
      <c r="AU279" s="387"/>
      <c r="AV279" s="362"/>
      <c r="AW279" s="386"/>
      <c r="AX279" s="386"/>
      <c r="AY279" s="386"/>
      <c r="AZ279" s="386"/>
      <c r="BA279" s="386"/>
    </row>
    <row r="280" spans="2:53" ht="15" thickTop="1" x14ac:dyDescent="0.3">
      <c r="AH280" s="153"/>
      <c r="AI280" s="153"/>
      <c r="AJ280" s="90"/>
      <c r="AK280" s="403"/>
      <c r="AL280" s="20"/>
      <c r="AM280" s="90"/>
      <c r="AN280" s="403"/>
      <c r="AO280" s="403"/>
      <c r="AP280" s="403"/>
      <c r="AQ280" s="403"/>
      <c r="AV280" s="403"/>
      <c r="AW280" s="403"/>
      <c r="AX280" s="403"/>
      <c r="AY280" s="403"/>
      <c r="AZ280" s="403"/>
      <c r="BA280" s="403"/>
    </row>
    <row r="281" spans="2:53" x14ac:dyDescent="0.3">
      <c r="M281" s="70"/>
      <c r="N281" s="111"/>
      <c r="O281" s="414"/>
      <c r="P281" s="474"/>
      <c r="Q281" s="70"/>
      <c r="R281" s="491"/>
      <c r="S281" s="474"/>
      <c r="T281" s="491"/>
      <c r="U281" s="414"/>
      <c r="V281" s="70"/>
      <c r="W281" s="70"/>
      <c r="X281" s="70"/>
      <c r="Y281" s="414"/>
      <c r="Z281" s="414"/>
      <c r="AA281" s="414"/>
      <c r="AH281" s="156"/>
      <c r="AI281" s="156"/>
      <c r="AJ281" s="19"/>
      <c r="AK281" s="22"/>
      <c r="AL281" s="154"/>
      <c r="AM281" s="155"/>
      <c r="AN281" s="157"/>
      <c r="AO281" s="58"/>
      <c r="AP281" s="58"/>
      <c r="AQ281" s="58"/>
      <c r="AU281" s="226"/>
      <c r="AV281" s="928"/>
      <c r="AX281" s="929"/>
      <c r="AY281" s="228"/>
      <c r="AZ281" s="930"/>
      <c r="BA281" s="931"/>
    </row>
    <row r="282" spans="2:53" ht="15" thickBot="1" x14ac:dyDescent="0.35">
      <c r="M282" s="70"/>
      <c r="N282" s="111"/>
      <c r="O282" s="414"/>
      <c r="P282" s="474"/>
      <c r="Q282" s="70"/>
      <c r="R282" s="491"/>
      <c r="S282" s="474"/>
      <c r="T282" s="491"/>
      <c r="U282" s="414"/>
      <c r="V282" s="70"/>
      <c r="W282" s="70"/>
      <c r="X282" s="70"/>
      <c r="Y282" s="414"/>
      <c r="Z282" s="414"/>
      <c r="AA282" s="414"/>
      <c r="AH282" s="156"/>
      <c r="AI282" s="156"/>
      <c r="AJ282" s="19"/>
      <c r="AK282" s="22"/>
      <c r="AL282" s="154"/>
      <c r="AM282" s="155"/>
      <c r="AN282" s="157"/>
      <c r="AO282" s="58"/>
      <c r="AP282" s="58"/>
      <c r="AQ282" s="58"/>
      <c r="AU282" s="226"/>
      <c r="AV282" s="928"/>
      <c r="AX282" s="929"/>
      <c r="AY282" s="228"/>
      <c r="AZ282" s="930"/>
      <c r="BA282" s="931"/>
    </row>
    <row r="283" spans="2:53" ht="15" thickTop="1" x14ac:dyDescent="0.3">
      <c r="F283" s="230" t="s">
        <v>124</v>
      </c>
      <c r="G283" s="231"/>
      <c r="H283" s="231" t="s">
        <v>125</v>
      </c>
      <c r="I283" s="896" t="s">
        <v>126</v>
      </c>
      <c r="J283" s="814"/>
      <c r="K283" s="814"/>
      <c r="L283" s="897"/>
      <c r="M283" s="164"/>
      <c r="N283" s="165"/>
      <c r="O283" s="166" t="s">
        <v>3</v>
      </c>
      <c r="P283" s="471"/>
      <c r="Q283" s="502"/>
      <c r="R283" s="489"/>
      <c r="S283" s="471"/>
      <c r="T283" s="489"/>
      <c r="U283" s="167"/>
      <c r="V283" s="168"/>
      <c r="W283" s="93"/>
      <c r="X283" s="892" t="s">
        <v>118</v>
      </c>
      <c r="Y283" s="893"/>
      <c r="Z283" s="323"/>
      <c r="AA283" s="324" t="s">
        <v>5</v>
      </c>
      <c r="AB283" s="325">
        <f>K287</f>
        <v>45644</v>
      </c>
      <c r="AC283" s="24"/>
      <c r="AD283" s="24"/>
      <c r="AE283" s="24"/>
      <c r="AF283" s="538"/>
      <c r="AH283" s="167"/>
      <c r="AI283" s="168"/>
      <c r="AJ283" s="93"/>
      <c r="AK283" s="892" t="s">
        <v>4</v>
      </c>
      <c r="AL283" s="893"/>
      <c r="AM283" s="326"/>
      <c r="AN283" s="256">
        <f>SUM(K288)</f>
        <v>45644</v>
      </c>
      <c r="AO283" s="58"/>
      <c r="AP283" s="58"/>
      <c r="AQ283" s="58"/>
      <c r="AU283" s="226"/>
      <c r="AV283" s="928"/>
      <c r="AW283" s="227"/>
      <c r="AX283" s="929"/>
      <c r="AY283" s="154"/>
      <c r="AZ283" s="930"/>
      <c r="BA283" s="931"/>
    </row>
    <row r="284" spans="2:53" ht="15" thickBot="1" x14ac:dyDescent="0.35">
      <c r="F284" s="26" t="s">
        <v>127</v>
      </c>
      <c r="G284" s="27"/>
      <c r="H284" s="27"/>
      <c r="I284" s="898"/>
      <c r="J284" s="899"/>
      <c r="K284" s="899"/>
      <c r="L284" s="900"/>
      <c r="M284" s="115"/>
      <c r="N284" s="171"/>
      <c r="O284" s="172" t="s">
        <v>6</v>
      </c>
      <c r="P284" s="472"/>
      <c r="Q284" s="503"/>
      <c r="R284" s="490"/>
      <c r="S284" s="472"/>
      <c r="T284" s="490"/>
      <c r="U284" s="173"/>
      <c r="V284" s="174"/>
      <c r="W284" s="175"/>
      <c r="X284" s="894"/>
      <c r="Y284" s="895"/>
      <c r="Z284" s="209"/>
      <c r="AA284" s="210" t="s">
        <v>7</v>
      </c>
      <c r="AB284" s="211">
        <f ca="1">$C$4</f>
        <v>45702</v>
      </c>
      <c r="AC284"/>
      <c r="AD284"/>
      <c r="AE284"/>
      <c r="AF284" s="538"/>
      <c r="AH284" s="206"/>
      <c r="AI284" s="207"/>
      <c r="AJ284" s="208"/>
      <c r="AK284" s="894"/>
      <c r="AL284" s="895"/>
      <c r="AM284" s="254"/>
      <c r="AN284" s="257">
        <f>SUM(J288)</f>
        <v>45828</v>
      </c>
      <c r="AO284" s="58"/>
      <c r="AP284" s="58"/>
      <c r="AQ284" s="58"/>
      <c r="AU284" s="226"/>
      <c r="AV284" s="928"/>
      <c r="AW284" s="227"/>
      <c r="AX284" s="929"/>
      <c r="AY284" s="154"/>
      <c r="AZ284" s="930"/>
      <c r="BA284" s="931"/>
    </row>
    <row r="285" spans="2:53" ht="73.2" customHeight="1" thickTop="1" thickBot="1" x14ac:dyDescent="0.4">
      <c r="B285" s="1" t="s">
        <v>8</v>
      </c>
      <c r="F285" s="935" t="s">
        <v>9</v>
      </c>
      <c r="G285" s="906" t="s">
        <v>10</v>
      </c>
      <c r="H285" s="398" t="s">
        <v>11</v>
      </c>
      <c r="I285" s="906" t="s">
        <v>12</v>
      </c>
      <c r="J285" s="906" t="s">
        <v>13</v>
      </c>
      <c r="K285" s="906" t="s">
        <v>14</v>
      </c>
      <c r="L285" s="906" t="s">
        <v>15</v>
      </c>
      <c r="M285" s="934" t="s">
        <v>16</v>
      </c>
      <c r="N285" s="398" t="s">
        <v>17</v>
      </c>
      <c r="O285" s="932" t="s">
        <v>18</v>
      </c>
      <c r="P285" s="904" t="s">
        <v>165</v>
      </c>
      <c r="Q285" s="504"/>
      <c r="R285" s="484"/>
      <c r="S285" s="479" t="s">
        <v>164</v>
      </c>
      <c r="T285" s="484"/>
      <c r="U285" s="182"/>
      <c r="V285" s="407" t="s">
        <v>19</v>
      </c>
      <c r="W285" s="407" t="s">
        <v>20</v>
      </c>
      <c r="X285" s="408" t="s">
        <v>16</v>
      </c>
      <c r="Y285" s="407" t="s">
        <v>21</v>
      </c>
      <c r="Z285" s="402" t="s">
        <v>22</v>
      </c>
      <c r="AA285" s="402" t="s">
        <v>23</v>
      </c>
      <c r="AB285" s="409" t="s">
        <v>24</v>
      </c>
      <c r="AC285" s="403"/>
      <c r="AD285" s="403"/>
      <c r="AE285" s="403"/>
      <c r="AF285" s="541"/>
      <c r="AH285" s="99"/>
      <c r="AI285" s="401" t="s">
        <v>25</v>
      </c>
      <c r="AJ285" s="887" t="s">
        <v>20</v>
      </c>
      <c r="AK285" s="886" t="s">
        <v>16</v>
      </c>
      <c r="AL285" s="338" t="s">
        <v>26</v>
      </c>
      <c r="AM285" s="401" t="s">
        <v>27</v>
      </c>
      <c r="AN285" s="879" t="s">
        <v>28</v>
      </c>
      <c r="AO285" s="58"/>
      <c r="AP285" s="58"/>
      <c r="AQ285" s="58"/>
    </row>
    <row r="286" spans="2:53" ht="58.8" thickTop="1" thickBot="1" x14ac:dyDescent="0.35">
      <c r="B286" s="89" t="s">
        <v>29</v>
      </c>
      <c r="F286" s="936"/>
      <c r="G286" s="910"/>
      <c r="H286" s="399"/>
      <c r="I286" s="910"/>
      <c r="J286" s="910"/>
      <c r="K286" s="910"/>
      <c r="L286" s="910"/>
      <c r="M286" s="907"/>
      <c r="N286" s="64" t="s">
        <v>30</v>
      </c>
      <c r="O286" s="933"/>
      <c r="P286" s="905"/>
      <c r="Q286" s="504"/>
      <c r="R286" s="484"/>
      <c r="S286" s="480"/>
      <c r="T286" s="484"/>
      <c r="U286" s="183"/>
      <c r="V286" s="199" t="s">
        <v>31</v>
      </c>
      <c r="W286" s="402"/>
      <c r="X286" s="406"/>
      <c r="Y286" s="199" t="s">
        <v>32</v>
      </c>
      <c r="Z286" s="120" t="s">
        <v>33</v>
      </c>
      <c r="AA286" s="402"/>
      <c r="AB286" s="409"/>
      <c r="AC286" s="403"/>
      <c r="AD286" s="403"/>
      <c r="AE286" s="403"/>
      <c r="AF286" s="541"/>
      <c r="AH286" s="118"/>
      <c r="AI286" s="261" t="s">
        <v>34</v>
      </c>
      <c r="AJ286" s="869"/>
      <c r="AK286" s="882"/>
      <c r="AL286" s="199" t="s">
        <v>32</v>
      </c>
      <c r="AM286" s="120" t="s">
        <v>33</v>
      </c>
      <c r="AN286" s="880"/>
      <c r="AR286" s="370"/>
      <c r="AS286" s="371" t="s">
        <v>4</v>
      </c>
      <c r="AT286" s="372"/>
      <c r="AU286" s="367" t="s">
        <v>35</v>
      </c>
      <c r="AV286" s="400" t="s">
        <v>36</v>
      </c>
      <c r="AW286" s="400" t="s">
        <v>37</v>
      </c>
      <c r="AX286" s="400" t="s">
        <v>38</v>
      </c>
      <c r="AY286" s="400" t="s">
        <v>39</v>
      </c>
      <c r="AZ286" s="400" t="s">
        <v>40</v>
      </c>
      <c r="BA286" s="218" t="s">
        <v>41</v>
      </c>
    </row>
    <row r="287" spans="2:53" x14ac:dyDescent="0.3">
      <c r="B287" s="87" t="s">
        <v>128</v>
      </c>
      <c r="C287" s="376">
        <f>_xll.EPF.Yahoo.Price("mcd")</f>
        <v>309.15499999999997</v>
      </c>
      <c r="D287" s="376"/>
      <c r="E287" s="18" t="s">
        <v>138</v>
      </c>
      <c r="F287" s="47" t="s">
        <v>128</v>
      </c>
      <c r="G287" s="412" t="s">
        <v>44</v>
      </c>
      <c r="H287" s="412" t="s">
        <v>45</v>
      </c>
      <c r="I287" s="46"/>
      <c r="J287" s="412"/>
      <c r="K287" s="51">
        <v>45644</v>
      </c>
      <c r="L287" s="412" t="s">
        <v>47</v>
      </c>
      <c r="M287" s="38">
        <v>100</v>
      </c>
      <c r="N287" s="39">
        <v>294.74</v>
      </c>
      <c r="O287" s="52">
        <f>IF(L287="Buy",M287*N287*-1,M287*N287)</f>
        <v>-29474</v>
      </c>
      <c r="P287" s="477"/>
      <c r="Q287" s="508"/>
      <c r="R287" s="497"/>
      <c r="S287" s="477"/>
      <c r="T287" s="497"/>
      <c r="U287" s="133"/>
      <c r="V287" s="125">
        <f ca="1">($C$4)</f>
        <v>45702</v>
      </c>
      <c r="W287" s="125" t="str">
        <f>IF(L287="Buy","Sell","Buy")</f>
        <v>Sell</v>
      </c>
      <c r="X287" s="126">
        <f>SUM(M287)</f>
        <v>100</v>
      </c>
      <c r="Y287" s="393">
        <f>SUM(C287)</f>
        <v>309.15499999999997</v>
      </c>
      <c r="Z287" s="104">
        <f>IF(W287="Buy",X287*Y287*-1,X287*Y287)</f>
        <v>30915.499999999996</v>
      </c>
      <c r="AA287" s="104">
        <f>IF(H287="Yes",O287*-1,0)</f>
        <v>29474</v>
      </c>
      <c r="AB287" s="138">
        <f>SUM(O287,Z287)</f>
        <v>1441.4999999999964</v>
      </c>
      <c r="AH287" s="184"/>
      <c r="AI287" s="125">
        <f>SUM(J288)</f>
        <v>45828</v>
      </c>
      <c r="AJ287" s="125" t="str">
        <f>IF(L287="Buy","Sell","Buy")</f>
        <v>Sell</v>
      </c>
      <c r="AK287" s="195">
        <f>SUM(M287)</f>
        <v>100</v>
      </c>
      <c r="AL287" s="200">
        <f>C287</f>
        <v>309.15499999999997</v>
      </c>
      <c r="AM287" s="104">
        <f>IF(AJ287="Buy",AK287*AL287*-1,AK287*AL287)</f>
        <v>30915.499999999996</v>
      </c>
      <c r="AN287" s="138">
        <f>SUM(O287,AM287)</f>
        <v>1441.4999999999964</v>
      </c>
      <c r="AO287" s="2"/>
      <c r="AP287" s="2"/>
      <c r="AQ287" s="2"/>
      <c r="AR287" s="368" t="s">
        <v>5</v>
      </c>
      <c r="AS287" s="369"/>
      <c r="AT287" s="369"/>
      <c r="AU287" s="214">
        <f>SUM(AB283)</f>
        <v>45644</v>
      </c>
      <c r="AV287" s="858">
        <f>SUM(AA313)</f>
        <v>30963</v>
      </c>
      <c r="AW287" s="213"/>
      <c r="AX287" s="861">
        <f ca="1">SUM(AW289,-AW288)</f>
        <v>658.50000000000273</v>
      </c>
      <c r="AY287" s="219"/>
      <c r="AZ287" s="872">
        <f ca="1">SUM(AY289,-1*AY288)</f>
        <v>126</v>
      </c>
      <c r="BA287" s="911">
        <f ca="1">PRODUCT(30,1/AZ287,AX287)</f>
        <v>156.78571428571493</v>
      </c>
    </row>
    <row r="288" spans="2:53" ht="15" customHeight="1" x14ac:dyDescent="0.3">
      <c r="B288" s="65" t="s">
        <v>129</v>
      </c>
      <c r="C288" s="65" t="s">
        <v>61</v>
      </c>
      <c r="D288" s="65"/>
      <c r="E288" s="66" t="s">
        <v>139</v>
      </c>
      <c r="F288" s="670" t="s">
        <v>128</v>
      </c>
      <c r="G288" s="671" t="s">
        <v>49</v>
      </c>
      <c r="H288" s="671" t="s">
        <v>45</v>
      </c>
      <c r="I288" s="672">
        <v>295</v>
      </c>
      <c r="J288" s="673">
        <v>45828</v>
      </c>
      <c r="K288" s="674">
        <v>45644</v>
      </c>
      <c r="L288" s="675" t="s">
        <v>47</v>
      </c>
      <c r="M288" s="676">
        <v>1</v>
      </c>
      <c r="N288" s="677">
        <v>14.89</v>
      </c>
      <c r="O288" s="680">
        <f>IF(L288="Buy",M288*N288*-1*100,M288*N288*100)</f>
        <v>-1489</v>
      </c>
      <c r="P288" s="83"/>
      <c r="Q288" s="189"/>
      <c r="R288" s="494"/>
      <c r="S288" s="83"/>
      <c r="T288" s="494"/>
      <c r="U288" s="348"/>
      <c r="V288" s="771">
        <v>45701</v>
      </c>
      <c r="W288" s="772" t="str">
        <f>IF(L288="Buy","Sell","Buy")</f>
        <v>Sell</v>
      </c>
      <c r="X288" s="773">
        <f>SUM(M288)</f>
        <v>1</v>
      </c>
      <c r="Y288" s="777">
        <v>6.64</v>
      </c>
      <c r="Z288" s="774">
        <f t="shared" ref="Z288:Z289" si="80">IF(W288="Buy",X288*Y288*-1*100,X288*Y288*100)</f>
        <v>664</v>
      </c>
      <c r="AA288" s="775">
        <f>IF(H288="Yes",O288*-1,0)</f>
        <v>1489</v>
      </c>
      <c r="AB288" s="776">
        <f>SUM(O288,Z288)</f>
        <v>-825</v>
      </c>
      <c r="AH288" s="16"/>
      <c r="AI288" s="424">
        <v>45701</v>
      </c>
      <c r="AJ288" s="127" t="str">
        <f>IF(L288="Buy","Sell","Buy")</f>
        <v>Sell</v>
      </c>
      <c r="AK288" s="201">
        <f>SUM(M288)</f>
        <v>1</v>
      </c>
      <c r="AL288" s="394">
        <v>6.64</v>
      </c>
      <c r="AM288" s="106">
        <f>IF(AJ288="Buy",AK288*AL288*-1*100,AK288*AL288*100)</f>
        <v>664</v>
      </c>
      <c r="AN288" s="139">
        <f>SUM(O288,AM288)</f>
        <v>-825</v>
      </c>
      <c r="AO288" s="2"/>
      <c r="AP288" s="2"/>
      <c r="AQ288" s="2"/>
      <c r="AR288" s="212" t="s">
        <v>7</v>
      </c>
      <c r="AS288" s="213"/>
      <c r="AT288" s="213"/>
      <c r="AU288" s="214">
        <f ca="1">SUM(AB284)</f>
        <v>45702</v>
      </c>
      <c r="AV288" s="859"/>
      <c r="AW288" s="220">
        <f>SUM(AB314)</f>
        <v>-223.50000000000364</v>
      </c>
      <c r="AX288" s="862"/>
      <c r="AY288" s="195">
        <f ca="1">SUM(AB315)</f>
        <v>58</v>
      </c>
      <c r="AZ288" s="873"/>
      <c r="BA288" s="912"/>
    </row>
    <row r="289" spans="2:53" ht="15" customHeight="1" thickBot="1" x14ac:dyDescent="0.35">
      <c r="B289" s="339" t="s">
        <v>254</v>
      </c>
      <c r="C289" s="79">
        <f>_xll.EPF.Yahoo.Price("mcd250620p00290000")</f>
        <v>5.15</v>
      </c>
      <c r="D289" s="79"/>
      <c r="E289" s="87" t="s">
        <v>139</v>
      </c>
      <c r="F289" s="345" t="s">
        <v>128</v>
      </c>
      <c r="G289" s="340" t="s">
        <v>49</v>
      </c>
      <c r="H289" s="340" t="s">
        <v>45</v>
      </c>
      <c r="I289" s="341">
        <v>290</v>
      </c>
      <c r="J289" s="342">
        <v>45828</v>
      </c>
      <c r="K289" s="346">
        <v>45701</v>
      </c>
      <c r="L289" s="343" t="s">
        <v>47</v>
      </c>
      <c r="M289" s="347">
        <v>1</v>
      </c>
      <c r="N289" s="344">
        <v>5.3</v>
      </c>
      <c r="O289" s="679">
        <f>IF(L289="Buy",M289*N289*-1*100,M289*N289*100)</f>
        <v>-530</v>
      </c>
      <c r="P289" s="83"/>
      <c r="Q289" s="189"/>
      <c r="R289" s="494"/>
      <c r="S289" s="83"/>
      <c r="T289" s="494"/>
      <c r="U289" s="348"/>
      <c r="V289" s="125">
        <f ca="1">($C$4)</f>
        <v>45702</v>
      </c>
      <c r="W289" s="335" t="str">
        <f>IF(L289="Buy","Sell","Buy")</f>
        <v>Sell</v>
      </c>
      <c r="X289" s="336">
        <f>SUM(M289)</f>
        <v>1</v>
      </c>
      <c r="Y289" s="197">
        <f>SUM(C289)</f>
        <v>5.15</v>
      </c>
      <c r="Z289" s="103">
        <f t="shared" si="80"/>
        <v>515</v>
      </c>
      <c r="AA289" s="137"/>
      <c r="AB289" s="138">
        <f t="shared" ref="AB289" si="81">SUM(O289,Z289)</f>
        <v>-15</v>
      </c>
      <c r="AH289" s="16"/>
      <c r="AI289" s="125">
        <f>SUM(J288)</f>
        <v>45828</v>
      </c>
      <c r="AJ289" s="125" t="str">
        <f>IF(L289="Buy","Sell","Buy")</f>
        <v>Sell</v>
      </c>
      <c r="AK289" s="195">
        <f>SUM(M289)</f>
        <v>1</v>
      </c>
      <c r="AL289" s="197">
        <f>IF(I289-C287&lt;0,0,I289-C287)</f>
        <v>0</v>
      </c>
      <c r="AM289" s="104">
        <f>IF(AJ289="Buy",AK289*AL289*-1*100,AK289*AL289*100)</f>
        <v>0</v>
      </c>
      <c r="AN289" s="138">
        <f>SUM(O289,AM289)</f>
        <v>-530</v>
      </c>
      <c r="AP289" s="778"/>
      <c r="AR289" s="215" t="s">
        <v>50</v>
      </c>
      <c r="AS289" s="216"/>
      <c r="AT289" s="216"/>
      <c r="AU289" s="214">
        <f>SUM(AN284)</f>
        <v>45828</v>
      </c>
      <c r="AV289" s="860"/>
      <c r="AW289" s="221">
        <f ca="1">SUM(AN314)</f>
        <v>434.99999999999909</v>
      </c>
      <c r="AX289" s="863"/>
      <c r="AY289" s="222">
        <f>SUM(AN315)</f>
        <v>184</v>
      </c>
      <c r="AZ289" s="874"/>
      <c r="BA289" s="913"/>
    </row>
    <row r="290" spans="2:53" ht="15.6" x14ac:dyDescent="0.3">
      <c r="F290" s="129"/>
      <c r="G290" s="14"/>
      <c r="H290" s="12"/>
      <c r="I290" s="12"/>
      <c r="J290" s="12"/>
      <c r="K290" s="17"/>
      <c r="L290" s="17"/>
      <c r="M290" s="17"/>
      <c r="N290" s="181"/>
      <c r="O290" s="133"/>
      <c r="P290" s="152"/>
      <c r="Q290" s="17"/>
      <c r="R290" s="486"/>
      <c r="S290" s="152"/>
      <c r="T290" s="486"/>
      <c r="U290" s="133"/>
      <c r="V290" s="15"/>
      <c r="W290" s="12"/>
      <c r="X290" s="152"/>
      <c r="Y290" s="77"/>
      <c r="Z290" s="17"/>
      <c r="AA290" s="54"/>
      <c r="AB290" s="160"/>
      <c r="AH290" s="16"/>
      <c r="AI290" s="15"/>
      <c r="AJ290" s="12"/>
      <c r="AK290" s="152"/>
      <c r="AL290" s="77"/>
      <c r="AM290" s="17"/>
      <c r="AN290" s="160"/>
      <c r="BA290" s="356"/>
    </row>
    <row r="291" spans="2:53" x14ac:dyDescent="0.3">
      <c r="F291" s="129"/>
      <c r="G291" s="14"/>
      <c r="H291" s="12"/>
      <c r="I291" s="12"/>
      <c r="J291" s="12"/>
      <c r="K291" s="17"/>
      <c r="L291" s="17"/>
      <c r="M291" s="17"/>
      <c r="N291" s="181"/>
      <c r="O291" s="133"/>
      <c r="P291" s="152"/>
      <c r="Q291" s="17"/>
      <c r="R291" s="486"/>
      <c r="S291" s="152"/>
      <c r="T291" s="486"/>
      <c r="U291" s="133"/>
      <c r="V291" s="15"/>
      <c r="W291" s="12"/>
      <c r="X291" s="152"/>
      <c r="Y291" s="77"/>
      <c r="Z291" s="17"/>
      <c r="AA291" s="54"/>
      <c r="AB291" s="160"/>
      <c r="AH291" s="16"/>
      <c r="AI291" s="15"/>
      <c r="AJ291" s="12"/>
      <c r="AK291" s="152"/>
      <c r="AL291" s="77"/>
      <c r="AM291" s="17"/>
      <c r="AN291" s="160"/>
      <c r="AR291" s="298" t="s">
        <v>52</v>
      </c>
      <c r="AS291" s="295"/>
      <c r="AT291" s="295"/>
      <c r="AU291" s="295"/>
      <c r="AV291" s="295"/>
      <c r="AW291" s="297"/>
      <c r="AX291" s="297"/>
      <c r="AY291" s="297"/>
      <c r="AZ291" s="297"/>
    </row>
    <row r="292" spans="2:53" x14ac:dyDescent="0.3">
      <c r="F292" s="129"/>
      <c r="G292" s="14"/>
      <c r="H292" s="12"/>
      <c r="I292" s="12"/>
      <c r="J292" s="12"/>
      <c r="K292" s="17"/>
      <c r="L292" s="17"/>
      <c r="M292" s="17"/>
      <c r="N292" s="181"/>
      <c r="O292" s="133"/>
      <c r="P292" s="152"/>
      <c r="Q292" s="17"/>
      <c r="R292" s="486"/>
      <c r="S292" s="152"/>
      <c r="T292" s="486"/>
      <c r="U292" s="133"/>
      <c r="V292" s="15"/>
      <c r="W292" s="12"/>
      <c r="X292" s="152"/>
      <c r="Y292" s="77"/>
      <c r="Z292" s="17"/>
      <c r="AA292" s="54"/>
      <c r="AB292" s="160"/>
      <c r="AH292" s="16"/>
      <c r="AI292" s="15"/>
      <c r="AJ292" s="12"/>
      <c r="AK292" s="152"/>
      <c r="AL292" s="77"/>
      <c r="AM292" s="17"/>
      <c r="AN292" s="160"/>
      <c r="AO292" s="67"/>
      <c r="AP292" s="67"/>
      <c r="AQ292" s="67"/>
      <c r="AR292" s="284" t="s">
        <v>53</v>
      </c>
      <c r="AS292" s="283"/>
      <c r="AT292" s="283"/>
      <c r="AU292" s="287"/>
      <c r="AV292" s="289">
        <f>SUM(AU287)</f>
        <v>45644</v>
      </c>
    </row>
    <row r="293" spans="2:53" x14ac:dyDescent="0.3">
      <c r="F293" s="192"/>
      <c r="G293" s="314"/>
      <c r="H293" s="193"/>
      <c r="I293" s="193"/>
      <c r="J293" s="193"/>
      <c r="K293" s="315"/>
      <c r="L293" s="315"/>
      <c r="M293" s="315"/>
      <c r="N293" s="316"/>
      <c r="O293" s="317"/>
      <c r="P293" s="152"/>
      <c r="Q293" s="17"/>
      <c r="R293" s="486"/>
      <c r="S293" s="152"/>
      <c r="T293" s="486"/>
      <c r="U293" s="133"/>
      <c r="V293" s="61"/>
      <c r="W293" s="11"/>
      <c r="X293" s="62"/>
      <c r="Y293" s="63"/>
      <c r="Z293" s="75"/>
      <c r="AA293" s="158"/>
      <c r="AB293" s="162"/>
      <c r="AC293" s="351"/>
      <c r="AH293" s="16"/>
      <c r="AI293" s="61"/>
      <c r="AJ293" s="11"/>
      <c r="AK293" s="62"/>
      <c r="AL293" s="63"/>
      <c r="AM293" s="75"/>
      <c r="AN293" s="306"/>
      <c r="AR293" s="284" t="s">
        <v>55</v>
      </c>
      <c r="AS293" s="283"/>
      <c r="AT293" s="283"/>
      <c r="AU293" s="287"/>
      <c r="AV293" s="289">
        <f>SUM(AU289)</f>
        <v>45828</v>
      </c>
    </row>
    <row r="294" spans="2:53" x14ac:dyDescent="0.3">
      <c r="F294" s="129"/>
      <c r="G294" s="14"/>
      <c r="H294" s="12"/>
      <c r="I294" s="12"/>
      <c r="J294" s="12"/>
      <c r="K294" s="17"/>
      <c r="L294" s="17"/>
      <c r="M294" s="17"/>
      <c r="N294" s="181"/>
      <c r="O294" s="133"/>
      <c r="P294" s="152"/>
      <c r="Q294" s="17"/>
      <c r="R294" s="486"/>
      <c r="S294" s="152"/>
      <c r="T294" s="486"/>
      <c r="U294" s="133"/>
      <c r="V294" s="15"/>
      <c r="W294" s="12"/>
      <c r="X294" s="152"/>
      <c r="Y294" s="77"/>
      <c r="Z294" s="17"/>
      <c r="AA294" s="54"/>
      <c r="AB294" s="160"/>
      <c r="AC294" s="351"/>
      <c r="AH294" s="16"/>
      <c r="AI294" s="15"/>
      <c r="AJ294" s="12"/>
      <c r="AK294" s="152"/>
      <c r="AL294" s="77"/>
      <c r="AM294" s="17"/>
      <c r="AN294" s="160"/>
      <c r="AR294" s="282" t="s">
        <v>56</v>
      </c>
      <c r="AS294" s="282"/>
      <c r="AT294" s="282"/>
      <c r="AU294" s="291"/>
      <c r="AV294" s="292">
        <v>45708</v>
      </c>
    </row>
    <row r="295" spans="2:53" x14ac:dyDescent="0.3">
      <c r="F295" s="129"/>
      <c r="G295" s="14"/>
      <c r="H295" s="12"/>
      <c r="I295" s="12"/>
      <c r="J295" s="12"/>
      <c r="K295" s="17"/>
      <c r="L295" s="17"/>
      <c r="M295" s="17"/>
      <c r="N295" s="181"/>
      <c r="O295" s="133"/>
      <c r="P295" s="152"/>
      <c r="Q295" s="17"/>
      <c r="R295" s="486"/>
      <c r="S295" s="152"/>
      <c r="T295" s="486"/>
      <c r="U295" s="133"/>
      <c r="V295" s="15"/>
      <c r="W295" s="12"/>
      <c r="X295" s="152"/>
      <c r="Y295" s="77"/>
      <c r="Z295" s="17"/>
      <c r="AA295" s="54"/>
      <c r="AB295" s="160"/>
      <c r="AC295" s="351"/>
      <c r="AH295" s="16"/>
      <c r="AI295" s="15"/>
      <c r="AJ295" s="12"/>
      <c r="AK295" s="152"/>
      <c r="AL295" s="77"/>
      <c r="AM295" s="357"/>
      <c r="AN295" s="358"/>
      <c r="AO295" s="58"/>
      <c r="AP295" s="58"/>
      <c r="AQ295" s="58"/>
      <c r="AR295" s="284" t="s">
        <v>57</v>
      </c>
      <c r="AS295" s="283"/>
      <c r="AT295" s="283"/>
      <c r="AU295" s="287"/>
      <c r="AV295" s="289">
        <f ca="1">SUM(AU288)</f>
        <v>45702</v>
      </c>
    </row>
    <row r="296" spans="2:53" x14ac:dyDescent="0.3">
      <c r="F296" s="129"/>
      <c r="G296" s="14"/>
      <c r="H296" s="12"/>
      <c r="I296" s="12"/>
      <c r="J296" s="12"/>
      <c r="K296" s="17"/>
      <c r="L296" s="17"/>
      <c r="M296" s="17"/>
      <c r="N296" s="181"/>
      <c r="O296" s="133"/>
      <c r="P296" s="152"/>
      <c r="Q296" s="17"/>
      <c r="R296" s="486"/>
      <c r="S296" s="152"/>
      <c r="T296" s="486"/>
      <c r="U296" s="133"/>
      <c r="V296" s="15"/>
      <c r="W296" s="12"/>
      <c r="X296" s="152"/>
      <c r="Y296" s="77"/>
      <c r="Z296" s="17"/>
      <c r="AA296" s="54"/>
      <c r="AB296" s="160"/>
      <c r="AC296" s="351"/>
      <c r="AH296" s="16"/>
      <c r="AI296" s="15"/>
      <c r="AJ296" s="12"/>
      <c r="AK296" s="152"/>
      <c r="AL296" s="77"/>
      <c r="AM296" s="359"/>
      <c r="AN296" s="360"/>
      <c r="AR296" s="284" t="s">
        <v>58</v>
      </c>
      <c r="AS296" s="283"/>
      <c r="AT296" s="283"/>
      <c r="AU296" s="287"/>
      <c r="AV296" s="290" t="s">
        <v>59</v>
      </c>
    </row>
    <row r="297" spans="2:53" x14ac:dyDescent="0.3">
      <c r="B297" s="304" t="s">
        <v>130</v>
      </c>
      <c r="C297" s="65" t="s">
        <v>61</v>
      </c>
      <c r="D297" s="65"/>
      <c r="E297" s="18" t="s">
        <v>138</v>
      </c>
      <c r="F297" s="98" t="s">
        <v>128</v>
      </c>
      <c r="G297" s="97" t="s">
        <v>62</v>
      </c>
      <c r="H297" s="97" t="s">
        <v>51</v>
      </c>
      <c r="I297" s="9">
        <v>295</v>
      </c>
      <c r="J297" s="10">
        <v>45674</v>
      </c>
      <c r="K297" s="422">
        <v>45644</v>
      </c>
      <c r="L297" s="8" t="s">
        <v>63</v>
      </c>
      <c r="M297" s="8">
        <v>1</v>
      </c>
      <c r="N297" s="30">
        <v>6.69</v>
      </c>
      <c r="O297" s="423">
        <f>IF(L297="Buy",M297*N297*-1*100,M297*N297*100)</f>
        <v>669</v>
      </c>
      <c r="P297" s="152"/>
      <c r="Q297" s="17"/>
      <c r="R297" s="486"/>
      <c r="S297" s="152"/>
      <c r="T297" s="486"/>
      <c r="U297" s="133"/>
      <c r="V297" s="424">
        <v>45667</v>
      </c>
      <c r="W297" s="127" t="str">
        <f>IF(L297="Buy","Sell","Buy")</f>
        <v>Buy</v>
      </c>
      <c r="X297" s="128">
        <f>SUM(M297)</f>
        <v>1</v>
      </c>
      <c r="Y297" s="394">
        <v>0.34</v>
      </c>
      <c r="Z297" s="105">
        <f t="shared" ref="Z297:Z298" si="82">IF(W297="Buy",X297*Y297*-1*100,X297*Y297*100)</f>
        <v>-34</v>
      </c>
      <c r="AA297" s="137">
        <f>IF(H297="Yes",O297*-1,0)</f>
        <v>0</v>
      </c>
      <c r="AB297" s="139">
        <f>SUM(O297,Z297)</f>
        <v>635</v>
      </c>
      <c r="AC297" s="351"/>
      <c r="AH297" s="81"/>
      <c r="AI297" s="127">
        <f>SUM(V297)</f>
        <v>45667</v>
      </c>
      <c r="AJ297" s="127" t="str">
        <f>IF(L297="Buy","Sell","Buy")</f>
        <v>Buy</v>
      </c>
      <c r="AK297" s="195">
        <f>SUM(M297)</f>
        <v>1</v>
      </c>
      <c r="AL297" s="394">
        <v>0.34</v>
      </c>
      <c r="AM297" s="361">
        <f>IF(AJ297="Buy",AK297*AL297*-1*100,AK297*AL297*100)</f>
        <v>-34</v>
      </c>
      <c r="AN297" s="139">
        <f>SUM(O297,AM297)</f>
        <v>635</v>
      </c>
      <c r="AO297" s="2"/>
      <c r="AP297" s="2"/>
      <c r="AQ297" s="2"/>
      <c r="AR297" s="284" t="s">
        <v>64</v>
      </c>
      <c r="AS297" s="283"/>
      <c r="AT297" s="283"/>
      <c r="AU297" s="287"/>
      <c r="AV297" s="294" cm="1">
        <f t="array" aca="1" ref="AV297" ca="1">NPendingEvents(AV292,AV293,AV294,AV295,AV296)</f>
        <v>2</v>
      </c>
    </row>
    <row r="298" spans="2:53" ht="15" thickBot="1" x14ac:dyDescent="0.35">
      <c r="B298" s="304" t="s">
        <v>140</v>
      </c>
      <c r="C298" s="65" t="s">
        <v>61</v>
      </c>
      <c r="D298" s="65"/>
      <c r="E298" s="66" t="s">
        <v>138</v>
      </c>
      <c r="F298" s="98" t="s">
        <v>128</v>
      </c>
      <c r="G298" s="97" t="s">
        <v>62</v>
      </c>
      <c r="H298" s="97" t="s">
        <v>51</v>
      </c>
      <c r="I298" s="9">
        <v>285</v>
      </c>
      <c r="J298" s="10">
        <v>45702</v>
      </c>
      <c r="K298" s="422">
        <v>45667</v>
      </c>
      <c r="L298" s="8" t="s">
        <v>63</v>
      </c>
      <c r="M298" s="8">
        <v>1</v>
      </c>
      <c r="N298" s="30">
        <v>7.75</v>
      </c>
      <c r="O298" s="768">
        <f>IF(L298="Buy",M298*N298*-1*100,M298*N298*100)</f>
        <v>775</v>
      </c>
      <c r="P298" s="152"/>
      <c r="Q298" s="17"/>
      <c r="R298" s="486"/>
      <c r="S298" s="152"/>
      <c r="T298" s="486"/>
      <c r="U298" s="133"/>
      <c r="V298" s="385">
        <v>45701</v>
      </c>
      <c r="W298" s="127" t="str">
        <f>IF(L298="Buy","Sell","Buy")</f>
        <v>Buy</v>
      </c>
      <c r="X298" s="128">
        <f>SUM(M298)</f>
        <v>1</v>
      </c>
      <c r="Y298" s="394">
        <v>22.57</v>
      </c>
      <c r="Z298" s="105">
        <f t="shared" si="82"/>
        <v>-2257</v>
      </c>
      <c r="AA298" s="137">
        <f>IF(H298="Yes",O298*-1,0)</f>
        <v>0</v>
      </c>
      <c r="AB298" s="139">
        <f>SUM(O298,Z298)</f>
        <v>-1482</v>
      </c>
      <c r="AC298" s="351"/>
      <c r="AI298" s="127">
        <f>SUM(J298)</f>
        <v>45702</v>
      </c>
      <c r="AJ298" s="127" t="str">
        <f>IF(L298="Buy","Sell","Buy")</f>
        <v>Buy</v>
      </c>
      <c r="AK298" s="201">
        <f>SUM(M298)</f>
        <v>1</v>
      </c>
      <c r="AL298" s="394">
        <v>22.57</v>
      </c>
      <c r="AM298" s="769">
        <f>IF(AJ298="Buy",AK298*AL298*-1*100,AK298*AL298*100)</f>
        <v>-2257</v>
      </c>
      <c r="AN298" s="139">
        <f>SUM(O298,AM298)</f>
        <v>-1482</v>
      </c>
      <c r="AO298" s="2"/>
      <c r="AP298" s="2"/>
      <c r="AQ298" s="2"/>
      <c r="AR298" s="282" t="s">
        <v>66</v>
      </c>
      <c r="AS298" s="282"/>
      <c r="AT298" s="282"/>
      <c r="AU298" s="288"/>
      <c r="AV298" s="293">
        <v>1.77</v>
      </c>
    </row>
    <row r="299" spans="2:53" ht="15.6" thickTop="1" thickBot="1" x14ac:dyDescent="0.35">
      <c r="B299" s="88" t="s">
        <v>251</v>
      </c>
      <c r="C299" s="79">
        <f>_xll.EPF.Yahoo.Price("mcd250620c00295000")</f>
        <v>22.35</v>
      </c>
      <c r="D299" s="79"/>
      <c r="E299" s="18" t="s">
        <v>138</v>
      </c>
      <c r="F299" s="95" t="s">
        <v>128</v>
      </c>
      <c r="G299" s="49" t="s">
        <v>62</v>
      </c>
      <c r="H299" s="49" t="s">
        <v>51</v>
      </c>
      <c r="I299" s="43">
        <v>295</v>
      </c>
      <c r="J299" s="44">
        <v>45828</v>
      </c>
      <c r="K299" s="313">
        <v>45701</v>
      </c>
      <c r="L299" s="40" t="s">
        <v>63</v>
      </c>
      <c r="M299" s="40">
        <v>1</v>
      </c>
      <c r="N299" s="42">
        <v>22.57</v>
      </c>
      <c r="O299" s="53">
        <f>IF(L299="Buy",M299*N299*-1*100,M299*N299*100)</f>
        <v>2257</v>
      </c>
      <c r="P299" s="152"/>
      <c r="Q299" s="17"/>
      <c r="R299" s="486"/>
      <c r="S299" s="152"/>
      <c r="T299" s="486"/>
      <c r="U299" s="133"/>
      <c r="V299" s="211">
        <v>45701</v>
      </c>
      <c r="W299" s="125" t="str">
        <f>IF(L299="Buy","Sell","Buy")</f>
        <v>Buy</v>
      </c>
      <c r="X299" s="126">
        <f>SUM(M299)</f>
        <v>1</v>
      </c>
      <c r="Y299" s="197">
        <f>C299</f>
        <v>22.35</v>
      </c>
      <c r="Z299" s="103">
        <f t="shared" ref="Z299" si="83">IF(W299="Buy",X299*Y299*-1*100,X299*Y299*100)</f>
        <v>-2235</v>
      </c>
      <c r="AA299" s="137">
        <f>IF(H299="Yes",O299*-1,0)</f>
        <v>0</v>
      </c>
      <c r="AB299" s="138">
        <f>SUM(O299,Z299)</f>
        <v>22</v>
      </c>
      <c r="AC299" s="351"/>
      <c r="AI299" s="125">
        <f>SUM(J299)</f>
        <v>45828</v>
      </c>
      <c r="AJ299" s="125" t="str">
        <f>IF(L299="Buy","Sell","Buy")</f>
        <v>Buy</v>
      </c>
      <c r="AK299" s="195">
        <f>SUM(M299)</f>
        <v>1</v>
      </c>
      <c r="AL299" s="197">
        <f>IF(I299-C287&gt;0,0,C287-I299)</f>
        <v>14.154999999999973</v>
      </c>
      <c r="AM299" s="104">
        <f>IF(AJ299="Buy",AK299*AL299*-1*100,AK299*AL299*100)</f>
        <v>-1415.4999999999973</v>
      </c>
      <c r="AN299" s="138">
        <f>SUM(O299,AM299)</f>
        <v>841.50000000000273</v>
      </c>
      <c r="AR299" s="284" t="s">
        <v>68</v>
      </c>
      <c r="AS299" s="283"/>
      <c r="AT299" s="283"/>
      <c r="AU299" s="287"/>
      <c r="AV299" s="294">
        <f>SUM(M287)</f>
        <v>100</v>
      </c>
    </row>
    <row r="300" spans="2:53" ht="15" thickTop="1" x14ac:dyDescent="0.3">
      <c r="F300" s="140"/>
      <c r="G300" s="14"/>
      <c r="H300" s="12"/>
      <c r="I300" s="12"/>
      <c r="J300" s="12"/>
      <c r="K300" s="17"/>
      <c r="L300" s="17"/>
      <c r="M300" s="17"/>
      <c r="N300" s="181"/>
      <c r="O300" s="133"/>
      <c r="P300" s="152"/>
      <c r="Q300" s="17"/>
      <c r="R300" s="486"/>
      <c r="S300" s="152"/>
      <c r="T300" s="486"/>
      <c r="U300" s="133"/>
      <c r="V300" s="17"/>
      <c r="W300" s="17"/>
      <c r="X300" s="260"/>
      <c r="Y300" s="259"/>
      <c r="Z300" s="311"/>
      <c r="AA300" s="12"/>
      <c r="AB300" s="312"/>
      <c r="AC300" s="269"/>
      <c r="AD300" s="354"/>
      <c r="AE300" s="354"/>
      <c r="AF300" s="537"/>
      <c r="AH300" s="13"/>
      <c r="AI300" s="12"/>
      <c r="AJ300" s="12"/>
      <c r="AK300" s="73"/>
      <c r="AL300" s="12"/>
      <c r="AM300" s="363"/>
      <c r="AN300" s="364"/>
      <c r="AR300" s="284" t="s">
        <v>70</v>
      </c>
      <c r="AS300" s="283"/>
      <c r="AT300" s="283"/>
      <c r="AU300" s="287"/>
      <c r="AV300" s="296">
        <f>PRODUCT(AV298,AV299)</f>
        <v>177</v>
      </c>
    </row>
    <row r="301" spans="2:53" x14ac:dyDescent="0.3">
      <c r="B301" s="7"/>
      <c r="C301" s="5"/>
      <c r="D301" s="5"/>
      <c r="F301" s="140"/>
      <c r="G301" s="14"/>
      <c r="H301" s="12"/>
      <c r="I301" s="12"/>
      <c r="J301" s="12"/>
      <c r="K301" s="17"/>
      <c r="L301" s="17"/>
      <c r="M301" s="17"/>
      <c r="N301" s="181"/>
      <c r="O301" s="133"/>
      <c r="P301" s="152"/>
      <c r="Q301" s="17"/>
      <c r="R301" s="486"/>
      <c r="S301" s="152"/>
      <c r="T301" s="486"/>
      <c r="U301" s="133"/>
      <c r="V301" s="17"/>
      <c r="W301" s="17"/>
      <c r="X301" s="260"/>
      <c r="Y301" s="259"/>
      <c r="Z301" s="260"/>
      <c r="AA301" s="12"/>
      <c r="AB301" s="312"/>
      <c r="AC301" s="270"/>
      <c r="AD301" s="37"/>
      <c r="AE301" s="37"/>
      <c r="AF301" s="538"/>
      <c r="AH301" s="13"/>
      <c r="AI301" s="12"/>
      <c r="AJ301" s="12"/>
      <c r="AK301" s="73"/>
      <c r="AL301" s="12"/>
      <c r="AM301" s="365"/>
      <c r="AN301" s="366"/>
      <c r="AR301" s="284" t="s">
        <v>72</v>
      </c>
      <c r="AS301" s="283"/>
      <c r="AT301" s="283"/>
      <c r="AU301" s="287"/>
      <c r="AV301" s="296">
        <f ca="1">PRODUCT(AV300,AV297)</f>
        <v>354</v>
      </c>
    </row>
    <row r="302" spans="2:53" x14ac:dyDescent="0.3">
      <c r="F302" s="140"/>
      <c r="G302" s="14"/>
      <c r="H302" s="12"/>
      <c r="I302" s="12"/>
      <c r="J302" s="12"/>
      <c r="K302" s="17"/>
      <c r="L302" s="17"/>
      <c r="M302" s="17"/>
      <c r="N302" s="181"/>
      <c r="O302" s="133"/>
      <c r="P302" s="152"/>
      <c r="Q302" s="17"/>
      <c r="R302" s="486"/>
      <c r="S302" s="152"/>
      <c r="T302" s="486"/>
      <c r="U302" s="133"/>
      <c r="V302" s="17"/>
      <c r="W302" s="17"/>
      <c r="X302" s="260"/>
      <c r="Y302" s="259"/>
      <c r="Z302" s="311"/>
      <c r="AA302" s="196"/>
      <c r="AB302" s="312"/>
      <c r="AC302" s="271"/>
      <c r="AD302" s="71"/>
      <c r="AE302" s="71"/>
      <c r="AF302" s="539"/>
      <c r="AH302" s="13"/>
      <c r="AI302" s="12"/>
      <c r="AJ302" s="12"/>
      <c r="AK302" s="73"/>
      <c r="AL302" s="12"/>
      <c r="AM302" s="196"/>
      <c r="AN302" s="307"/>
      <c r="AO302" s="67"/>
      <c r="AP302" s="67"/>
      <c r="AQ302" s="67"/>
    </row>
    <row r="303" spans="2:53" ht="23.4" x14ac:dyDescent="0.3">
      <c r="F303" s="140"/>
      <c r="G303" s="14"/>
      <c r="H303" s="12"/>
      <c r="I303" s="12"/>
      <c r="J303" s="12"/>
      <c r="K303" s="17"/>
      <c r="L303" s="17"/>
      <c r="M303" s="17"/>
      <c r="N303" s="181"/>
      <c r="O303" s="133"/>
      <c r="P303" s="152"/>
      <c r="Q303" s="17"/>
      <c r="R303" s="486"/>
      <c r="S303" s="152"/>
      <c r="T303" s="486"/>
      <c r="U303" s="133"/>
      <c r="V303" s="17"/>
      <c r="W303" s="17"/>
      <c r="X303" s="319"/>
      <c r="Y303" s="396"/>
      <c r="Z303" s="404"/>
      <c r="AA303" s="404"/>
      <c r="AB303" s="420"/>
      <c r="AC303" s="352"/>
      <c r="AD303"/>
      <c r="AE303"/>
      <c r="AF303" s="538"/>
      <c r="AH303" s="13"/>
      <c r="AI303" s="12"/>
      <c r="AJ303" s="12"/>
      <c r="AK303" s="73"/>
      <c r="AL303" s="12"/>
      <c r="AM303" s="196"/>
      <c r="AN303" s="307"/>
      <c r="AO303" s="224"/>
      <c r="AP303" s="224"/>
      <c r="AQ303" s="224"/>
      <c r="AR303" s="298" t="s">
        <v>73</v>
      </c>
      <c r="AS303" s="284"/>
      <c r="AT303" s="284"/>
      <c r="AU303" s="302"/>
      <c r="AV303" s="295"/>
    </row>
    <row r="304" spans="2:53" x14ac:dyDescent="0.3">
      <c r="F304" s="140"/>
      <c r="G304" s="14"/>
      <c r="H304" s="12"/>
      <c r="I304" s="12"/>
      <c r="J304" s="12"/>
      <c r="K304" s="17"/>
      <c r="L304" s="17"/>
      <c r="M304" s="136"/>
      <c r="N304" s="627"/>
      <c r="O304" s="276"/>
      <c r="P304" s="152"/>
      <c r="Q304" s="17"/>
      <c r="R304" s="486"/>
      <c r="S304" s="152"/>
      <c r="T304" s="486"/>
      <c r="U304" s="133"/>
      <c r="V304" s="17"/>
      <c r="W304" s="17"/>
      <c r="X304" s="17"/>
      <c r="Y304" s="77"/>
      <c r="Z304" s="133"/>
      <c r="AA304" s="133"/>
      <c r="AB304" s="419"/>
      <c r="AH304" s="13"/>
      <c r="AI304" s="12"/>
      <c r="AJ304" s="12"/>
      <c r="AK304" s="73"/>
      <c r="AL304" s="12"/>
      <c r="AM304" s="196"/>
      <c r="AN304" s="307"/>
      <c r="AR304" s="284" t="s">
        <v>53</v>
      </c>
      <c r="AS304" s="284"/>
      <c r="AT304" s="284"/>
      <c r="AU304" s="302"/>
      <c r="AV304" s="289">
        <f>SUM(AU287)</f>
        <v>45644</v>
      </c>
    </row>
    <row r="305" spans="6:49" x14ac:dyDescent="0.3">
      <c r="AH305" s="13"/>
      <c r="AI305" s="12"/>
      <c r="AJ305" s="12"/>
      <c r="AK305" s="73"/>
      <c r="AL305" s="12"/>
      <c r="AM305" s="196"/>
      <c r="AN305" s="307"/>
      <c r="AR305" s="284" t="s">
        <v>55</v>
      </c>
      <c r="AS305" s="284"/>
      <c r="AT305" s="284"/>
      <c r="AU305" s="302"/>
      <c r="AV305" s="289">
        <f>SUM(AU289)</f>
        <v>45828</v>
      </c>
    </row>
    <row r="306" spans="6:49" x14ac:dyDescent="0.3">
      <c r="F306" s="140"/>
      <c r="G306" s="14"/>
      <c r="H306" s="12"/>
      <c r="I306" s="12"/>
      <c r="J306" s="12"/>
      <c r="K306" s="17"/>
      <c r="L306" s="17"/>
      <c r="M306" s="17"/>
      <c r="N306" s="181"/>
      <c r="O306" s="133"/>
      <c r="P306" s="152"/>
      <c r="Q306" s="17"/>
      <c r="R306" s="486"/>
      <c r="S306" s="152"/>
      <c r="T306" s="486"/>
      <c r="U306" s="133"/>
      <c r="V306" s="17"/>
      <c r="W306" s="17"/>
      <c r="X306" s="17"/>
      <c r="Y306" s="77"/>
      <c r="Z306" s="133"/>
      <c r="AA306" s="133"/>
      <c r="AB306" s="419"/>
      <c r="AH306" s="13"/>
      <c r="AI306" s="12"/>
      <c r="AJ306" s="12"/>
      <c r="AK306" s="73"/>
      <c r="AL306" s="12"/>
      <c r="AM306" s="196"/>
      <c r="AN306" s="307"/>
      <c r="AR306" s="282" t="s">
        <v>74</v>
      </c>
      <c r="AS306" s="282"/>
      <c r="AT306" s="282"/>
      <c r="AU306" s="288"/>
      <c r="AV306" s="303">
        <v>45702</v>
      </c>
    </row>
    <row r="307" spans="6:49" x14ac:dyDescent="0.3">
      <c r="F307" s="140"/>
      <c r="G307" s="14"/>
      <c r="H307" s="12"/>
      <c r="I307" s="12"/>
      <c r="J307" s="12"/>
      <c r="K307" s="17"/>
      <c r="L307" s="17"/>
      <c r="M307" s="17"/>
      <c r="N307" s="181"/>
      <c r="O307" s="133"/>
      <c r="P307" s="152"/>
      <c r="Q307" s="17"/>
      <c r="R307" s="486"/>
      <c r="S307" s="152"/>
      <c r="T307" s="486"/>
      <c r="U307" s="133"/>
      <c r="V307" s="17"/>
      <c r="W307" s="17"/>
      <c r="X307" s="17"/>
      <c r="Y307" s="77"/>
      <c r="Z307" s="133"/>
      <c r="AA307" s="133"/>
      <c r="AB307" s="419"/>
      <c r="AH307" s="13"/>
      <c r="AI307" s="12"/>
      <c r="AJ307" s="12"/>
      <c r="AK307" s="73"/>
      <c r="AL307" s="12"/>
      <c r="AM307" s="196"/>
      <c r="AN307" s="307"/>
      <c r="AR307" s="284" t="s">
        <v>57</v>
      </c>
      <c r="AS307" s="283"/>
      <c r="AT307" s="283"/>
      <c r="AU307" s="287"/>
      <c r="AV307" s="289">
        <f ca="1">SUM(AU288)</f>
        <v>45702</v>
      </c>
    </row>
    <row r="308" spans="6:49" ht="15" customHeight="1" x14ac:dyDescent="0.3">
      <c r="F308" s="140"/>
      <c r="G308" s="14"/>
      <c r="H308" s="12"/>
      <c r="I308" s="12"/>
      <c r="J308" s="12"/>
      <c r="K308" s="17"/>
      <c r="L308" s="17"/>
      <c r="M308" s="17"/>
      <c r="N308" s="181"/>
      <c r="O308" s="133"/>
      <c r="P308" s="152"/>
      <c r="Q308" s="17"/>
      <c r="R308" s="486"/>
      <c r="S308" s="152"/>
      <c r="T308" s="486"/>
      <c r="U308" s="133"/>
      <c r="V308" s="17"/>
      <c r="W308" s="17"/>
      <c r="X308" s="17"/>
      <c r="Y308" s="77"/>
      <c r="Z308" s="133"/>
      <c r="AA308" s="133"/>
      <c r="AB308" s="419"/>
      <c r="AH308" s="13"/>
      <c r="AI308" s="12"/>
      <c r="AJ308" s="12"/>
      <c r="AK308" s="73"/>
      <c r="AL308" s="12"/>
      <c r="AM308" s="196"/>
      <c r="AN308" s="307"/>
      <c r="AO308" s="229"/>
      <c r="AP308" s="229"/>
      <c r="AQ308" s="229"/>
      <c r="AR308" s="284" t="s">
        <v>58</v>
      </c>
      <c r="AS308" s="283"/>
      <c r="AT308" s="283"/>
      <c r="AU308" s="287"/>
      <c r="AV308" s="290" t="s">
        <v>75</v>
      </c>
    </row>
    <row r="309" spans="6:49" x14ac:dyDescent="0.3">
      <c r="F309" s="140"/>
      <c r="G309" s="14"/>
      <c r="H309" s="12"/>
      <c r="I309" s="12"/>
      <c r="J309" s="12"/>
      <c r="K309" s="17"/>
      <c r="L309" s="17"/>
      <c r="M309" s="17"/>
      <c r="N309" s="181"/>
      <c r="O309" s="133"/>
      <c r="P309" s="152"/>
      <c r="Q309" s="17"/>
      <c r="R309" s="486"/>
      <c r="S309" s="152"/>
      <c r="T309" s="486"/>
      <c r="U309" s="133"/>
      <c r="V309" s="17"/>
      <c r="W309" s="17"/>
      <c r="X309" s="17"/>
      <c r="Y309" s="77"/>
      <c r="Z309" s="133"/>
      <c r="AA309" s="133"/>
      <c r="AB309" s="419"/>
      <c r="AH309" s="13"/>
      <c r="AI309" s="12"/>
      <c r="AJ309" s="12"/>
      <c r="AK309" s="73"/>
      <c r="AL309" s="12"/>
      <c r="AM309" s="196"/>
      <c r="AN309" s="307"/>
      <c r="AR309" s="284" t="s">
        <v>76</v>
      </c>
      <c r="AS309" s="283"/>
      <c r="AT309" s="283"/>
      <c r="AU309" s="287"/>
      <c r="AV309" s="294" cm="1">
        <f t="array" aca="1" ref="AV309" ca="1">NPendingEvents(AV304,AV305,AV306,AV307,AV308)</f>
        <v>5</v>
      </c>
    </row>
    <row r="310" spans="6:49" x14ac:dyDescent="0.3">
      <c r="F310" s="140"/>
      <c r="G310" s="14"/>
      <c r="H310" s="12"/>
      <c r="I310" s="12"/>
      <c r="J310" s="12"/>
      <c r="K310" s="17"/>
      <c r="L310" s="17"/>
      <c r="M310" s="17"/>
      <c r="N310" s="181"/>
      <c r="O310" s="133"/>
      <c r="P310" s="152"/>
      <c r="Q310" s="17"/>
      <c r="R310" s="486"/>
      <c r="S310" s="152"/>
      <c r="T310" s="486"/>
      <c r="U310" s="133"/>
      <c r="V310" s="17"/>
      <c r="W310" s="17"/>
      <c r="X310" s="17"/>
      <c r="Y310" s="77"/>
      <c r="Z310" s="133"/>
      <c r="AA310" s="133"/>
      <c r="AB310" s="419"/>
      <c r="AH310" s="13"/>
      <c r="AI310" s="12"/>
      <c r="AJ310" s="12"/>
      <c r="AK310" s="73"/>
      <c r="AL310" s="12"/>
      <c r="AM310" s="196"/>
      <c r="AN310" s="307"/>
      <c r="AR310" s="282" t="s">
        <v>77</v>
      </c>
      <c r="AS310" s="282"/>
      <c r="AT310" s="282"/>
      <c r="AU310" s="288"/>
      <c r="AV310" s="465">
        <v>0</v>
      </c>
    </row>
    <row r="311" spans="6:49" x14ac:dyDescent="0.3">
      <c r="F311" s="140"/>
      <c r="G311" s="14"/>
      <c r="H311" s="12"/>
      <c r="I311" s="12"/>
      <c r="J311" s="12"/>
      <c r="K311" s="17"/>
      <c r="L311" s="17"/>
      <c r="M311" s="17"/>
      <c r="N311" s="181"/>
      <c r="O311" s="133"/>
      <c r="P311" s="152"/>
      <c r="Q311" s="17"/>
      <c r="R311" s="486"/>
      <c r="S311" s="152"/>
      <c r="T311" s="486"/>
      <c r="U311" s="133"/>
      <c r="V311" s="17"/>
      <c r="W311" s="17"/>
      <c r="X311" s="17"/>
      <c r="Y311" s="77"/>
      <c r="Z311" s="133"/>
      <c r="AA311" s="133"/>
      <c r="AB311" s="419"/>
      <c r="AH311" s="13"/>
      <c r="AI311" s="12"/>
      <c r="AJ311" s="12"/>
      <c r="AK311" s="73"/>
      <c r="AL311" s="194"/>
      <c r="AM311" s="194" t="s">
        <v>78</v>
      </c>
      <c r="AN311" s="285">
        <f ca="1">SUM(AV301)</f>
        <v>354</v>
      </c>
      <c r="AR311" s="284" t="s">
        <v>68</v>
      </c>
      <c r="AS311" s="283"/>
      <c r="AT311" s="283"/>
      <c r="AU311" s="287"/>
      <c r="AV311" s="294">
        <f>SUM(M287)</f>
        <v>100</v>
      </c>
    </row>
    <row r="312" spans="6:49" ht="15" thickBot="1" x14ac:dyDescent="0.35">
      <c r="F312" s="244"/>
      <c r="G312" s="144"/>
      <c r="H312" s="145"/>
      <c r="I312" s="145"/>
      <c r="J312" s="145"/>
      <c r="K312" s="146"/>
      <c r="L312" s="146"/>
      <c r="M312" s="146"/>
      <c r="N312" s="320"/>
      <c r="O312" s="321"/>
      <c r="P312" s="469"/>
      <c r="Q312" s="146"/>
      <c r="R312" s="488"/>
      <c r="S312" s="469"/>
      <c r="T312" s="488"/>
      <c r="U312" s="321"/>
      <c r="V312" s="146"/>
      <c r="W312" s="146"/>
      <c r="X312" s="146"/>
      <c r="Y312" s="246"/>
      <c r="Z312" s="321"/>
      <c r="AA312" s="321"/>
      <c r="AB312" s="421"/>
      <c r="AH312" s="205"/>
      <c r="AI312" s="145"/>
      <c r="AJ312" s="145"/>
      <c r="AK312" s="305"/>
      <c r="AL312" s="374"/>
      <c r="AM312" s="374" t="s">
        <v>79</v>
      </c>
      <c r="AN312" s="285">
        <f ca="1">PRODUCT(AV313)</f>
        <v>0</v>
      </c>
      <c r="AR312" s="284" t="s">
        <v>80</v>
      </c>
      <c r="AS312" s="283"/>
      <c r="AT312" s="283"/>
      <c r="AU312" s="287"/>
      <c r="AV312" s="296">
        <f>PRODUCT(AV310,AV311)</f>
        <v>0</v>
      </c>
    </row>
    <row r="313" spans="6:49" ht="15" customHeight="1" thickTop="1" x14ac:dyDescent="0.3">
      <c r="X313" s="235"/>
      <c r="Y313" s="235"/>
      <c r="Z313" s="236" t="s">
        <v>81</v>
      </c>
      <c r="AA313" s="237">
        <f>SUM(AA287:AA312)</f>
        <v>30963</v>
      </c>
      <c r="AB313" s="76"/>
      <c r="AC313" s="198">
        <f>SUM(AA313)</f>
        <v>30963</v>
      </c>
      <c r="AE313"/>
      <c r="AF313" s="538"/>
      <c r="AH313" s="153"/>
      <c r="AI313" s="153"/>
      <c r="AJ313" s="90"/>
      <c r="AK313" s="239"/>
      <c r="AL313" s="327"/>
      <c r="AM313" s="328" t="s">
        <v>81</v>
      </c>
      <c r="AN313" s="241">
        <f>SUM(AA287:AA310)</f>
        <v>30963</v>
      </c>
      <c r="AR313" s="284" t="s">
        <v>82</v>
      </c>
      <c r="AS313" s="283"/>
      <c r="AT313" s="283"/>
      <c r="AU313" s="287"/>
      <c r="AV313" s="296">
        <f ca="1">PRODUCT(AV309,AV312)</f>
        <v>0</v>
      </c>
      <c r="AW313" s="300"/>
    </row>
    <row r="314" spans="6:49" x14ac:dyDescent="0.3">
      <c r="I314" s="417" t="s">
        <v>252</v>
      </c>
      <c r="J314" s="418">
        <v>45828</v>
      </c>
      <c r="K314" s="770" t="s">
        <v>253</v>
      </c>
      <c r="X314" s="115" t="s">
        <v>84</v>
      </c>
      <c r="Y314" s="113"/>
      <c r="Z314" s="114"/>
      <c r="AA314" s="12"/>
      <c r="AB314" s="142">
        <f>SUM(AB287:AB312)</f>
        <v>-223.50000000000364</v>
      </c>
      <c r="AD314" s="198">
        <f>SUM(AB314)</f>
        <v>-223.50000000000364</v>
      </c>
      <c r="AE314" s="354"/>
      <c r="AF314" s="537"/>
      <c r="AH314" s="153"/>
      <c r="AI314" s="153"/>
      <c r="AJ314" s="90"/>
      <c r="AK314" s="329"/>
      <c r="AL314" s="113"/>
      <c r="AM314" s="114" t="s">
        <v>84</v>
      </c>
      <c r="AN314" s="142">
        <f ca="1">SUM(AN287:AN312)</f>
        <v>434.99999999999909</v>
      </c>
      <c r="AP314" s="142">
        <f ca="1">AN314</f>
        <v>434.99999999999909</v>
      </c>
      <c r="AW314" s="24"/>
    </row>
    <row r="315" spans="6:49" x14ac:dyDescent="0.3">
      <c r="X315" s="115" t="s">
        <v>85</v>
      </c>
      <c r="Y315" s="115"/>
      <c r="Z315" s="115"/>
      <c r="AA315" s="12"/>
      <c r="AB315" s="143">
        <f ca="1">_xlfn.DAYS(AB284,AB283)</f>
        <v>58</v>
      </c>
      <c r="AC315" s="37"/>
      <c r="AD315" s="37"/>
      <c r="AE315" s="37"/>
      <c r="AF315" s="538"/>
      <c r="AH315" s="153"/>
      <c r="AI315" s="153"/>
      <c r="AJ315" s="90"/>
      <c r="AK315" s="329"/>
      <c r="AL315" s="113"/>
      <c r="AM315" s="114" t="s">
        <v>86</v>
      </c>
      <c r="AN315" s="143">
        <f>_xlfn.DAYS(AN284,AN283)</f>
        <v>184</v>
      </c>
    </row>
    <row r="316" spans="6:49" ht="15" thickBot="1" x14ac:dyDescent="0.35">
      <c r="X316" s="115" t="s">
        <v>87</v>
      </c>
      <c r="Y316" s="113"/>
      <c r="Z316" s="114"/>
      <c r="AA316" s="113"/>
      <c r="AB316" s="149">
        <f>PRODUCT(AB314,100,1/AA313)</f>
        <v>-0.72182928010852832</v>
      </c>
      <c r="AC316" s="71"/>
      <c r="AD316" s="71"/>
      <c r="AE316" s="71"/>
      <c r="AF316" s="539"/>
      <c r="AH316" s="153"/>
      <c r="AI316" s="153"/>
      <c r="AJ316" s="90"/>
      <c r="AK316" s="329"/>
      <c r="AL316" s="113"/>
      <c r="AM316" s="114" t="s">
        <v>88</v>
      </c>
      <c r="AN316" s="149">
        <f ca="1">PRODUCT(AN314,100,1/AN313)</f>
        <v>1.4049026257145598</v>
      </c>
    </row>
    <row r="317" spans="6:49" ht="37.799999999999997" thickTop="1" thickBot="1" x14ac:dyDescent="0.35">
      <c r="X317" s="150" t="s">
        <v>89</v>
      </c>
      <c r="Y317" s="147"/>
      <c r="Z317" s="147"/>
      <c r="AA317" s="148"/>
      <c r="AB317" s="151">
        <f ca="1">PRODUCT(AB316,365,1/AB315)</f>
        <v>-4.5425463317174621</v>
      </c>
      <c r="AC317"/>
      <c r="AD317"/>
      <c r="AE317"/>
      <c r="AF317" s="538"/>
      <c r="AH317" s="153"/>
      <c r="AI317" s="153"/>
      <c r="AJ317" s="90"/>
      <c r="AK317" s="330"/>
      <c r="AL317" s="267"/>
      <c r="AM317" s="267" t="s">
        <v>90</v>
      </c>
      <c r="AN317" s="373">
        <f ca="1">PRODUCT(AN316,365,1/AN315)</f>
        <v>2.7868992303576863</v>
      </c>
      <c r="AV317" s="1" t="s">
        <v>247</v>
      </c>
    </row>
    <row r="318" spans="6:49" ht="15" thickTop="1" x14ac:dyDescent="0.3"/>
    <row r="320" spans="6:49" ht="15" thickBot="1" x14ac:dyDescent="0.35"/>
    <row r="321" spans="2:53" ht="15" thickTop="1" x14ac:dyDescent="0.3">
      <c r="F321" s="230" t="s">
        <v>131</v>
      </c>
      <c r="G321" s="231"/>
      <c r="H321" s="231" t="s">
        <v>132</v>
      </c>
      <c r="I321" s="920" t="s">
        <v>177</v>
      </c>
      <c r="J321" s="921"/>
      <c r="K321" s="921"/>
      <c r="L321" s="922"/>
      <c r="M321" s="164"/>
      <c r="N321" s="165"/>
      <c r="O321" s="166" t="s">
        <v>3</v>
      </c>
      <c r="P321" s="471"/>
      <c r="Q321" s="502"/>
      <c r="R321" s="489"/>
      <c r="S321" s="471"/>
      <c r="T321" s="489"/>
      <c r="U321" s="167"/>
      <c r="V321" s="168"/>
      <c r="W321" s="93"/>
      <c r="X321" s="892" t="s">
        <v>178</v>
      </c>
      <c r="Y321" s="893"/>
      <c r="Z321" s="323"/>
      <c r="AA321" s="324" t="s">
        <v>5</v>
      </c>
      <c r="AB321" s="325" t="s">
        <v>142</v>
      </c>
      <c r="AC321" s="24"/>
      <c r="AD321" s="24"/>
      <c r="AE321" s="24"/>
      <c r="AF321" s="538"/>
      <c r="AH321" s="23"/>
      <c r="AK321" s="918"/>
      <c r="AL321" s="919"/>
      <c r="AN321" s="55"/>
      <c r="AO321" s="58"/>
      <c r="AP321" s="58"/>
      <c r="AQ321" s="58"/>
      <c r="AU321" s="226"/>
      <c r="AV321" s="928"/>
      <c r="AW321" s="227"/>
      <c r="AX321" s="929"/>
      <c r="AY321" s="154"/>
      <c r="AZ321" s="930"/>
      <c r="BA321" s="931"/>
    </row>
    <row r="322" spans="2:53" ht="15" thickBot="1" x14ac:dyDescent="0.35">
      <c r="F322" s="26" t="s">
        <v>133</v>
      </c>
      <c r="G322" s="27"/>
      <c r="H322" s="27"/>
      <c r="I322" s="923"/>
      <c r="J322" s="924"/>
      <c r="K322" s="924"/>
      <c r="L322" s="925"/>
      <c r="M322" s="115"/>
      <c r="N322" s="171"/>
      <c r="O322" s="172" t="s">
        <v>6</v>
      </c>
      <c r="P322" s="472"/>
      <c r="Q322" s="503"/>
      <c r="R322" s="490"/>
      <c r="S322" s="472"/>
      <c r="T322" s="490"/>
      <c r="U322" s="173"/>
      <c r="V322" s="174"/>
      <c r="W322" s="175"/>
      <c r="X322" s="894"/>
      <c r="Y322" s="895"/>
      <c r="Z322" s="209"/>
      <c r="AA322" s="384" t="s">
        <v>119</v>
      </c>
      <c r="AB322" s="385">
        <v>45687</v>
      </c>
      <c r="AC322"/>
      <c r="AD322" s="296">
        <v>-90</v>
      </c>
      <c r="AE322"/>
      <c r="AF322" s="538"/>
      <c r="AH322" s="388"/>
      <c r="AI322" s="391"/>
      <c r="AJ322" s="392"/>
      <c r="AK322" s="919"/>
      <c r="AL322" s="919"/>
      <c r="AN322" s="55"/>
      <c r="AO322" s="58"/>
      <c r="AP322" s="58"/>
      <c r="AQ322" s="58"/>
      <c r="AU322" s="226"/>
      <c r="AV322" s="928"/>
      <c r="AW322" s="227"/>
      <c r="AX322" s="929"/>
      <c r="AY322" s="154"/>
      <c r="AZ322" s="930"/>
      <c r="BA322" s="931"/>
    </row>
    <row r="325" spans="2:53" ht="15" thickBot="1" x14ac:dyDescent="0.35"/>
    <row r="326" spans="2:53" ht="15" customHeight="1" thickTop="1" x14ac:dyDescent="0.3">
      <c r="F326" s="230"/>
      <c r="G326" s="231"/>
      <c r="H326" s="231"/>
      <c r="I326" s="896" t="s">
        <v>152</v>
      </c>
      <c r="J326" s="814"/>
      <c r="K326" s="814"/>
      <c r="L326" s="897"/>
      <c r="M326" s="164"/>
      <c r="N326" s="165"/>
      <c r="O326" s="166"/>
      <c r="P326" s="471"/>
      <c r="Q326" s="502"/>
      <c r="R326" s="489"/>
      <c r="S326" s="471"/>
      <c r="T326" s="489"/>
      <c r="U326" s="167"/>
      <c r="V326" s="168"/>
      <c r="W326" s="93"/>
      <c r="X326" s="892"/>
      <c r="Y326" s="893"/>
      <c r="Z326" s="323"/>
      <c r="AA326" s="324"/>
      <c r="AB326" s="325"/>
      <c r="AC326" s="24"/>
      <c r="AD326" s="24"/>
    </row>
    <row r="327" spans="2:53" ht="15" customHeight="1" thickBot="1" x14ac:dyDescent="0.35">
      <c r="F327" s="26"/>
      <c r="G327" s="27"/>
      <c r="H327" s="27"/>
      <c r="I327" s="898"/>
      <c r="J327" s="899"/>
      <c r="K327" s="899"/>
      <c r="L327" s="900"/>
      <c r="M327" s="115"/>
      <c r="N327" s="171"/>
      <c r="O327" s="172"/>
      <c r="P327" s="472"/>
      <c r="Q327" s="503"/>
      <c r="R327" s="490"/>
      <c r="S327" s="472"/>
      <c r="T327" s="490"/>
      <c r="U327" s="173"/>
      <c r="V327" s="174"/>
      <c r="W327" s="175"/>
      <c r="X327" s="894"/>
      <c r="Y327" s="895"/>
      <c r="Z327" s="209"/>
      <c r="AA327" s="210" t="s">
        <v>7</v>
      </c>
      <c r="AB327" s="211">
        <f ca="1">$C$4</f>
        <v>45702</v>
      </c>
      <c r="AC327"/>
      <c r="AD327"/>
    </row>
    <row r="328" spans="2:53" ht="57.6" x14ac:dyDescent="0.35">
      <c r="B328" s="1" t="s">
        <v>8</v>
      </c>
      <c r="F328" s="935" t="s">
        <v>9</v>
      </c>
      <c r="G328" s="906" t="s">
        <v>10</v>
      </c>
      <c r="H328" s="398" t="s">
        <v>11</v>
      </c>
      <c r="I328" s="906" t="s">
        <v>12</v>
      </c>
      <c r="J328" s="906" t="s">
        <v>13</v>
      </c>
      <c r="K328" s="906" t="s">
        <v>14</v>
      </c>
      <c r="L328" s="906" t="s">
        <v>15</v>
      </c>
      <c r="M328" s="934" t="s">
        <v>16</v>
      </c>
      <c r="N328" s="398" t="s">
        <v>17</v>
      </c>
      <c r="O328" s="932" t="s">
        <v>18</v>
      </c>
      <c r="P328" s="473"/>
      <c r="Q328" s="509"/>
      <c r="R328" s="498"/>
      <c r="S328" s="473"/>
      <c r="T328" s="498"/>
      <c r="U328" s="182"/>
      <c r="V328" s="407" t="s">
        <v>19</v>
      </c>
      <c r="W328" s="407" t="s">
        <v>20</v>
      </c>
      <c r="X328" s="408" t="s">
        <v>16</v>
      </c>
      <c r="Y328" s="407" t="s">
        <v>21</v>
      </c>
      <c r="Z328" s="402" t="s">
        <v>22</v>
      </c>
      <c r="AA328" s="402" t="s">
        <v>257</v>
      </c>
      <c r="AB328" s="409" t="s">
        <v>24</v>
      </c>
      <c r="AC328" s="403"/>
      <c r="AD328" s="403"/>
    </row>
    <row r="329" spans="2:53" ht="58.2" thickBot="1" x14ac:dyDescent="0.35">
      <c r="B329" s="89" t="s">
        <v>29</v>
      </c>
      <c r="F329" s="936"/>
      <c r="G329" s="910"/>
      <c r="H329" s="399"/>
      <c r="I329" s="910"/>
      <c r="J329" s="910"/>
      <c r="K329" s="910"/>
      <c r="L329" s="910"/>
      <c r="M329" s="907"/>
      <c r="N329" s="64" t="s">
        <v>30</v>
      </c>
      <c r="O329" s="933"/>
      <c r="P329" s="476"/>
      <c r="Q329" s="510"/>
      <c r="R329" s="499"/>
      <c r="S329" s="476"/>
      <c r="T329" s="499"/>
      <c r="U329" s="183"/>
      <c r="V329" s="199" t="s">
        <v>31</v>
      </c>
      <c r="W329" s="402"/>
      <c r="X329" s="406"/>
      <c r="Y329" s="199" t="s">
        <v>32</v>
      </c>
      <c r="Z329" s="120" t="s">
        <v>33</v>
      </c>
      <c r="AA329" s="402"/>
      <c r="AB329" s="409"/>
      <c r="AC329" s="403"/>
      <c r="AD329" s="403"/>
    </row>
    <row r="330" spans="2:53" x14ac:dyDescent="0.3">
      <c r="B330" s="87" t="s">
        <v>134</v>
      </c>
      <c r="C330" s="568" t="s">
        <v>61</v>
      </c>
      <c r="D330" s="568"/>
      <c r="E330" s="18" t="s">
        <v>151</v>
      </c>
      <c r="F330" s="558" t="s">
        <v>134</v>
      </c>
      <c r="G330" s="516" t="s">
        <v>154</v>
      </c>
      <c r="H330" s="516" t="s">
        <v>153</v>
      </c>
      <c r="I330" s="559"/>
      <c r="J330" s="516"/>
      <c r="K330" s="560">
        <v>45673</v>
      </c>
      <c r="L330" s="516" t="s">
        <v>47</v>
      </c>
      <c r="M330" s="517">
        <v>2</v>
      </c>
      <c r="N330" s="561">
        <v>159.44</v>
      </c>
      <c r="O330" s="519">
        <f>IF(L330="Buy",M330*N330*-1,M330*N330)</f>
        <v>-318.88</v>
      </c>
      <c r="P330" s="562"/>
      <c r="Q330" s="563"/>
      <c r="R330" s="564"/>
      <c r="S330" s="562"/>
      <c r="T330" s="564"/>
      <c r="U330" s="133"/>
      <c r="V330" s="424">
        <v>45687</v>
      </c>
      <c r="W330" s="125" t="str">
        <f>IF(L330="Buy","Sell","Buy")</f>
        <v>Sell</v>
      </c>
      <c r="X330" s="126">
        <f>SUM(M330)</f>
        <v>2</v>
      </c>
      <c r="Y330" s="394">
        <v>156.77000000000001</v>
      </c>
      <c r="Z330" s="104">
        <f>IF(W330="Buy",X330*Y330*-1,X330*Y330)</f>
        <v>313.54000000000002</v>
      </c>
      <c r="AA330" s="104"/>
      <c r="AB330" s="138">
        <f>SUM(O330,Z330)</f>
        <v>-5.339999999999975</v>
      </c>
      <c r="AC330" s="70"/>
      <c r="AD330" s="461"/>
    </row>
    <row r="331" spans="2:53" x14ac:dyDescent="0.3">
      <c r="B331" s="87" t="s">
        <v>134</v>
      </c>
      <c r="C331" s="568" t="s">
        <v>61</v>
      </c>
      <c r="D331" s="568"/>
      <c r="E331" s="18" t="s">
        <v>151</v>
      </c>
      <c r="F331" s="558" t="s">
        <v>134</v>
      </c>
      <c r="G331" s="516" t="s">
        <v>154</v>
      </c>
      <c r="H331" s="516" t="s">
        <v>153</v>
      </c>
      <c r="I331" s="559"/>
      <c r="J331" s="445"/>
      <c r="K331" s="445">
        <v>45674</v>
      </c>
      <c r="L331" s="565" t="s">
        <v>47</v>
      </c>
      <c r="M331" s="566">
        <v>2</v>
      </c>
      <c r="N331" s="518">
        <v>160.55000000000001</v>
      </c>
      <c r="O331" s="519">
        <f>IF(L331="Buy",M331*N331*-1,M331*N331)</f>
        <v>-321.10000000000002</v>
      </c>
      <c r="P331" s="520"/>
      <c r="Q331" s="521"/>
      <c r="R331" s="522"/>
      <c r="S331" s="520"/>
      <c r="T331" s="522"/>
      <c r="U331" s="348"/>
      <c r="V331" s="424">
        <v>45687</v>
      </c>
      <c r="W331" s="125" t="str">
        <f>IF(L331="Buy","Sell","Buy")</f>
        <v>Sell</v>
      </c>
      <c r="X331" s="126">
        <f>SUM(M331)</f>
        <v>2</v>
      </c>
      <c r="Y331" s="394">
        <v>156.77000000000001</v>
      </c>
      <c r="Z331" s="104">
        <f>IF(W331="Buy",X331*Y331*-1,X331*Y331)</f>
        <v>313.54000000000002</v>
      </c>
      <c r="AA331" s="104"/>
      <c r="AB331" s="138">
        <f>SUM(O331,Z331)</f>
        <v>-7.5600000000000023</v>
      </c>
    </row>
    <row r="332" spans="2:53" x14ac:dyDescent="0.3">
      <c r="B332" s="5"/>
      <c r="C332" s="5"/>
      <c r="D332" s="65"/>
      <c r="F332" s="448"/>
      <c r="G332" s="112"/>
      <c r="H332" s="112"/>
      <c r="I332" s="187"/>
      <c r="J332" s="86"/>
      <c r="K332" s="449"/>
      <c r="L332" s="6"/>
      <c r="M332" s="83"/>
      <c r="N332" s="84"/>
      <c r="O332" s="81"/>
      <c r="P332" s="83"/>
      <c r="Q332" s="189"/>
      <c r="R332" s="494"/>
      <c r="S332" s="83"/>
      <c r="T332" s="494"/>
      <c r="U332" s="348"/>
      <c r="V332" s="332"/>
      <c r="W332" s="332"/>
      <c r="X332" s="450"/>
      <c r="Y332" s="333"/>
      <c r="Z332" s="451"/>
      <c r="AA332" s="452"/>
      <c r="AB332" s="453"/>
    </row>
    <row r="333" spans="2:53" x14ac:dyDescent="0.3">
      <c r="B333" s="339" t="s">
        <v>155</v>
      </c>
      <c r="C333" s="568" t="s">
        <v>61</v>
      </c>
      <c r="D333" s="65"/>
      <c r="E333" s="18" t="s">
        <v>151</v>
      </c>
      <c r="F333" s="345" t="s">
        <v>155</v>
      </c>
      <c r="G333" s="340" t="s">
        <v>154</v>
      </c>
      <c r="H333" s="340" t="s">
        <v>153</v>
      </c>
      <c r="I333" s="341"/>
      <c r="J333" s="342"/>
      <c r="K333" s="346">
        <v>45674</v>
      </c>
      <c r="L333" s="412" t="s">
        <v>47</v>
      </c>
      <c r="M333" s="38">
        <v>4</v>
      </c>
      <c r="N333" s="344">
        <v>89.89</v>
      </c>
      <c r="O333" s="52">
        <f>IF(L333="Buy",M333*N333*-1,M333*N333)</f>
        <v>-359.56</v>
      </c>
      <c r="P333" s="478"/>
      <c r="Q333" s="511"/>
      <c r="R333" s="500"/>
      <c r="S333" s="478"/>
      <c r="T333" s="500"/>
      <c r="U333" s="348"/>
      <c r="V333" s="424">
        <v>45691</v>
      </c>
      <c r="W333" s="127" t="str">
        <f>IF(L333="Buy","Sell","Buy")</f>
        <v>Sell</v>
      </c>
      <c r="X333" s="128">
        <f>SUM(M333)</f>
        <v>4</v>
      </c>
      <c r="Y333" s="394">
        <v>82.79</v>
      </c>
      <c r="Z333" s="106">
        <f>IF(W333="Buy",X333*Y333*-1,X333*Y333)</f>
        <v>331.16</v>
      </c>
      <c r="AA333" s="106"/>
      <c r="AB333" s="139">
        <f>SUM(O333,Z333)</f>
        <v>-28.399999999999977</v>
      </c>
    </row>
    <row r="334" spans="2:53" x14ac:dyDescent="0.3">
      <c r="B334" s="339" t="s">
        <v>155</v>
      </c>
      <c r="C334" s="568" t="s">
        <v>61</v>
      </c>
      <c r="D334" s="65"/>
      <c r="E334" s="18" t="s">
        <v>151</v>
      </c>
      <c r="F334" s="345" t="s">
        <v>155</v>
      </c>
      <c r="G334" s="340" t="s">
        <v>154</v>
      </c>
      <c r="H334" s="340" t="s">
        <v>153</v>
      </c>
      <c r="I334" s="341"/>
      <c r="J334" s="342"/>
      <c r="K334" s="446">
        <v>45674</v>
      </c>
      <c r="L334" s="412" t="s">
        <v>47</v>
      </c>
      <c r="M334" s="38">
        <v>4</v>
      </c>
      <c r="N334" s="447">
        <v>90.92</v>
      </c>
      <c r="O334" s="52">
        <f>IF(L334="Buy",M334*N334*-1,M334*N334)</f>
        <v>-363.68</v>
      </c>
      <c r="P334" s="478"/>
      <c r="Q334" s="511"/>
      <c r="R334" s="500"/>
      <c r="S334" s="478"/>
      <c r="T334" s="500"/>
      <c r="U334" s="348"/>
      <c r="V334" s="424">
        <v>45691</v>
      </c>
      <c r="W334" s="127" t="str">
        <f>IF(L334="Buy","Sell","Buy")</f>
        <v>Sell</v>
      </c>
      <c r="X334" s="128">
        <f>SUM(M334)</f>
        <v>4</v>
      </c>
      <c r="Y334" s="394">
        <v>82.79</v>
      </c>
      <c r="Z334" s="106">
        <f>IF(W334="Buy",X334*Y334*-1,X334*Y334)</f>
        <v>331.16</v>
      </c>
      <c r="AA334" s="106"/>
      <c r="AB334" s="139">
        <f>SUM(O334,Z334)</f>
        <v>-32.519999999999982</v>
      </c>
      <c r="AC334" s="380"/>
      <c r="AD334" s="380"/>
    </row>
    <row r="335" spans="2:53" x14ac:dyDescent="0.3">
      <c r="B335" s="339" t="s">
        <v>155</v>
      </c>
      <c r="C335" s="568" t="s">
        <v>61</v>
      </c>
      <c r="D335" s="65"/>
      <c r="E335" s="18" t="s">
        <v>151</v>
      </c>
      <c r="F335" s="345" t="s">
        <v>155</v>
      </c>
      <c r="G335" s="340" t="s">
        <v>154</v>
      </c>
      <c r="H335" s="340" t="s">
        <v>153</v>
      </c>
      <c r="I335" s="341"/>
      <c r="J335" s="342"/>
      <c r="K335" s="44">
        <v>45674</v>
      </c>
      <c r="L335" s="412" t="s">
        <v>47</v>
      </c>
      <c r="M335" s="38">
        <v>4</v>
      </c>
      <c r="N335" s="42">
        <v>91.92</v>
      </c>
      <c r="O335" s="52">
        <f>IF(L335="Buy",M335*N335*-1,M335*N335)</f>
        <v>-367.68</v>
      </c>
      <c r="P335" s="478"/>
      <c r="Q335" s="511"/>
      <c r="R335" s="500"/>
      <c r="S335" s="478"/>
      <c r="T335" s="500"/>
      <c r="U335" s="348"/>
      <c r="V335" s="424">
        <v>45691</v>
      </c>
      <c r="W335" s="127" t="str">
        <f>IF(L335="Buy","Sell","Buy")</f>
        <v>Sell</v>
      </c>
      <c r="X335" s="128">
        <f>SUM(M335)</f>
        <v>4</v>
      </c>
      <c r="Y335" s="394">
        <v>82.79</v>
      </c>
      <c r="Z335" s="106">
        <f>IF(W335="Buy",X335*Y335*-1,X335*Y335)</f>
        <v>331.16</v>
      </c>
      <c r="AA335" s="106"/>
      <c r="AB335" s="139">
        <f>SUM(O335,Z335)</f>
        <v>-36.519999999999982</v>
      </c>
    </row>
    <row r="336" spans="2:53" x14ac:dyDescent="0.3">
      <c r="C336" s="568" t="s">
        <v>61</v>
      </c>
      <c r="F336" s="129"/>
      <c r="G336" s="14"/>
      <c r="H336" s="12"/>
      <c r="I336" s="12"/>
      <c r="J336" s="12"/>
      <c r="K336" s="15"/>
      <c r="L336" s="17"/>
      <c r="M336" s="17"/>
      <c r="N336" s="77"/>
      <c r="O336" s="133"/>
      <c r="P336" s="152"/>
      <c r="Q336" s="17"/>
      <c r="R336" s="486"/>
      <c r="S336" s="152"/>
      <c r="T336" s="486"/>
      <c r="U336" s="133"/>
      <c r="V336" s="15"/>
      <c r="W336" s="12"/>
      <c r="X336" s="152"/>
      <c r="Y336" s="77"/>
      <c r="Z336" s="621"/>
      <c r="AA336" s="622"/>
      <c r="AB336" s="163"/>
      <c r="AC336" s="351"/>
    </row>
    <row r="337" spans="2:30" x14ac:dyDescent="0.3">
      <c r="B337" s="339" t="s">
        <v>156</v>
      </c>
      <c r="C337" s="568" t="s">
        <v>61</v>
      </c>
      <c r="D337" s="568"/>
      <c r="E337" s="18" t="s">
        <v>151</v>
      </c>
      <c r="F337" s="512" t="s">
        <v>156</v>
      </c>
      <c r="G337" s="513" t="s">
        <v>154</v>
      </c>
      <c r="H337" s="513" t="s">
        <v>153</v>
      </c>
      <c r="I337" s="514"/>
      <c r="J337" s="445"/>
      <c r="K337" s="515">
        <v>45650</v>
      </c>
      <c r="L337" s="516" t="s">
        <v>47</v>
      </c>
      <c r="M337" s="517">
        <v>2</v>
      </c>
      <c r="N337" s="518">
        <v>141.08000000000001</v>
      </c>
      <c r="O337" s="519">
        <f t="shared" ref="O337:O343" si="84">IF(L337="Buy",M337*N337*-1,M337*N337)</f>
        <v>-282.16000000000003</v>
      </c>
      <c r="P337" s="520"/>
      <c r="Q337" s="521"/>
      <c r="R337" s="522"/>
      <c r="S337" s="520"/>
      <c r="T337" s="522"/>
      <c r="U337" s="348"/>
      <c r="V337" s="127">
        <f t="shared" ref="V337:V342" ca="1" si="85">($C$4)</f>
        <v>45702</v>
      </c>
      <c r="W337" s="127" t="str">
        <f t="shared" ref="W337:W343" si="86">IF(L337="Buy","Sell","Buy")</f>
        <v>Sell</v>
      </c>
      <c r="X337" s="128">
        <f t="shared" ref="X337:X343" si="87">SUM(M337)</f>
        <v>2</v>
      </c>
      <c r="Y337" s="394">
        <v>124.95</v>
      </c>
      <c r="Z337" s="106">
        <f t="shared" ref="Z337:Z342" si="88">IF(W337="Buy",X337*Y337*-1,X337*Y337)</f>
        <v>249.9</v>
      </c>
      <c r="AA337" s="106"/>
      <c r="AB337" s="139">
        <f t="shared" ref="AB337:AB343" si="89">SUM(O337,Z337)</f>
        <v>-32.260000000000019</v>
      </c>
      <c r="AC337" s="462"/>
    </row>
    <row r="338" spans="2:30" x14ac:dyDescent="0.3">
      <c r="B338" s="339" t="s">
        <v>156</v>
      </c>
      <c r="C338" s="568" t="s">
        <v>61</v>
      </c>
      <c r="D338" s="568"/>
      <c r="E338" s="18" t="s">
        <v>151</v>
      </c>
      <c r="F338" s="512" t="s">
        <v>156</v>
      </c>
      <c r="G338" s="513" t="s">
        <v>154</v>
      </c>
      <c r="H338" s="513" t="s">
        <v>153</v>
      </c>
      <c r="I338" s="514"/>
      <c r="J338" s="445"/>
      <c r="K338" s="515">
        <v>45663</v>
      </c>
      <c r="L338" s="516" t="s">
        <v>47</v>
      </c>
      <c r="M338" s="517">
        <v>4</v>
      </c>
      <c r="N338" s="518">
        <v>148.66</v>
      </c>
      <c r="O338" s="519">
        <f t="shared" si="84"/>
        <v>-594.64</v>
      </c>
      <c r="P338" s="520"/>
      <c r="Q338" s="521"/>
      <c r="R338" s="522"/>
      <c r="S338" s="520"/>
      <c r="T338" s="522"/>
      <c r="U338" s="348"/>
      <c r="V338" s="127">
        <f t="shared" ca="1" si="85"/>
        <v>45702</v>
      </c>
      <c r="W338" s="127" t="str">
        <f t="shared" si="86"/>
        <v>Sell</v>
      </c>
      <c r="X338" s="128">
        <f t="shared" si="87"/>
        <v>4</v>
      </c>
      <c r="Y338" s="394">
        <v>124.95</v>
      </c>
      <c r="Z338" s="106">
        <f t="shared" si="88"/>
        <v>499.8</v>
      </c>
      <c r="AA338" s="106"/>
      <c r="AB338" s="139">
        <f t="shared" si="89"/>
        <v>-94.839999999999975</v>
      </c>
      <c r="AC338" s="351"/>
    </row>
    <row r="339" spans="2:30" x14ac:dyDescent="0.3">
      <c r="B339" s="339" t="s">
        <v>156</v>
      </c>
      <c r="C339" s="568" t="s">
        <v>61</v>
      </c>
      <c r="D339" s="568"/>
      <c r="E339" s="18" t="s">
        <v>151</v>
      </c>
      <c r="F339" s="512" t="s">
        <v>156</v>
      </c>
      <c r="G339" s="513" t="s">
        <v>154</v>
      </c>
      <c r="H339" s="513" t="s">
        <v>153</v>
      </c>
      <c r="I339" s="514"/>
      <c r="J339" s="445"/>
      <c r="K339" s="515">
        <v>45664</v>
      </c>
      <c r="L339" s="516" t="s">
        <v>47</v>
      </c>
      <c r="M339" s="517">
        <v>4</v>
      </c>
      <c r="N339" s="518">
        <v>153.1</v>
      </c>
      <c r="O339" s="519">
        <f t="shared" si="84"/>
        <v>-612.4</v>
      </c>
      <c r="P339" s="520"/>
      <c r="Q339" s="521"/>
      <c r="R339" s="522"/>
      <c r="S339" s="520"/>
      <c r="T339" s="522"/>
      <c r="U339" s="348"/>
      <c r="V339" s="127">
        <f t="shared" ca="1" si="85"/>
        <v>45702</v>
      </c>
      <c r="W339" s="127" t="str">
        <f t="shared" si="86"/>
        <v>Sell</v>
      </c>
      <c r="X339" s="128">
        <f t="shared" si="87"/>
        <v>4</v>
      </c>
      <c r="Y339" s="394">
        <v>124.95</v>
      </c>
      <c r="Z339" s="106">
        <f t="shared" si="88"/>
        <v>499.8</v>
      </c>
      <c r="AA339" s="106"/>
      <c r="AB339" s="139">
        <f t="shared" si="89"/>
        <v>-112.59999999999997</v>
      </c>
      <c r="AC339" s="351"/>
    </row>
    <row r="340" spans="2:30" x14ac:dyDescent="0.3">
      <c r="B340" s="339" t="s">
        <v>156</v>
      </c>
      <c r="C340" s="568" t="s">
        <v>61</v>
      </c>
      <c r="D340" s="568"/>
      <c r="E340" s="18" t="s">
        <v>151</v>
      </c>
      <c r="F340" s="512" t="s">
        <v>156</v>
      </c>
      <c r="G340" s="513" t="s">
        <v>154</v>
      </c>
      <c r="H340" s="513" t="s">
        <v>153</v>
      </c>
      <c r="I340" s="514"/>
      <c r="J340" s="445"/>
      <c r="K340" s="515">
        <v>45674</v>
      </c>
      <c r="L340" s="516" t="s">
        <v>47</v>
      </c>
      <c r="M340" s="517">
        <v>4</v>
      </c>
      <c r="N340" s="518">
        <v>137.01</v>
      </c>
      <c r="O340" s="519">
        <f t="shared" si="84"/>
        <v>-548.04</v>
      </c>
      <c r="P340" s="520"/>
      <c r="Q340" s="521"/>
      <c r="R340" s="522"/>
      <c r="S340" s="520"/>
      <c r="T340" s="522"/>
      <c r="U340" s="348"/>
      <c r="V340" s="127">
        <f t="shared" ca="1" si="85"/>
        <v>45702</v>
      </c>
      <c r="W340" s="127" t="str">
        <f t="shared" si="86"/>
        <v>Sell</v>
      </c>
      <c r="X340" s="128">
        <f t="shared" si="87"/>
        <v>4</v>
      </c>
      <c r="Y340" s="394">
        <v>124.95</v>
      </c>
      <c r="Z340" s="106">
        <f t="shared" si="88"/>
        <v>499.8</v>
      </c>
      <c r="AA340" s="106"/>
      <c r="AB340" s="139">
        <f t="shared" si="89"/>
        <v>-48.239999999999952</v>
      </c>
    </row>
    <row r="341" spans="2:30" x14ac:dyDescent="0.3">
      <c r="B341" s="339" t="s">
        <v>156</v>
      </c>
      <c r="C341" s="568" t="s">
        <v>61</v>
      </c>
      <c r="D341" s="568"/>
      <c r="E341" s="18" t="s">
        <v>151</v>
      </c>
      <c r="F341" s="512" t="s">
        <v>156</v>
      </c>
      <c r="G341" s="513" t="s">
        <v>154</v>
      </c>
      <c r="H341" s="513" t="s">
        <v>153</v>
      </c>
      <c r="I341" s="514"/>
      <c r="J341" s="445"/>
      <c r="K341" s="515">
        <v>45678</v>
      </c>
      <c r="L341" s="516" t="s">
        <v>47</v>
      </c>
      <c r="M341" s="517">
        <v>2</v>
      </c>
      <c r="N341" s="518">
        <v>139.18</v>
      </c>
      <c r="O341" s="519">
        <f t="shared" si="84"/>
        <v>-278.36</v>
      </c>
      <c r="P341" s="520"/>
      <c r="Q341" s="521"/>
      <c r="R341" s="522"/>
      <c r="S341" s="520"/>
      <c r="T341" s="522"/>
      <c r="U341" s="348"/>
      <c r="V341" s="127">
        <f t="shared" ca="1" si="85"/>
        <v>45702</v>
      </c>
      <c r="W341" s="127" t="str">
        <f t="shared" si="86"/>
        <v>Sell</v>
      </c>
      <c r="X341" s="128">
        <f t="shared" si="87"/>
        <v>2</v>
      </c>
      <c r="Y341" s="394">
        <v>124.95</v>
      </c>
      <c r="Z341" s="106">
        <f t="shared" si="88"/>
        <v>249.9</v>
      </c>
      <c r="AA341" s="106"/>
      <c r="AB341" s="139">
        <f t="shared" si="89"/>
        <v>-28.460000000000008</v>
      </c>
    </row>
    <row r="342" spans="2:30" x14ac:dyDescent="0.3">
      <c r="B342" s="339" t="s">
        <v>156</v>
      </c>
      <c r="C342" s="568" t="s">
        <v>61</v>
      </c>
      <c r="D342" s="568"/>
      <c r="E342" s="18" t="s">
        <v>151</v>
      </c>
      <c r="F342" s="512" t="s">
        <v>156</v>
      </c>
      <c r="G342" s="513" t="s">
        <v>154</v>
      </c>
      <c r="H342" s="513" t="s">
        <v>153</v>
      </c>
      <c r="I342" s="514"/>
      <c r="J342" s="445"/>
      <c r="K342" s="515">
        <v>45679</v>
      </c>
      <c r="L342" s="516" t="s">
        <v>47</v>
      </c>
      <c r="M342" s="517">
        <v>4</v>
      </c>
      <c r="N342" s="518">
        <v>144.76</v>
      </c>
      <c r="O342" s="519">
        <f t="shared" si="84"/>
        <v>-579.04</v>
      </c>
      <c r="P342" s="520"/>
      <c r="Q342" s="521"/>
      <c r="R342" s="522"/>
      <c r="S342" s="520"/>
      <c r="T342" s="522"/>
      <c r="U342" s="348"/>
      <c r="V342" s="127">
        <f t="shared" ca="1" si="85"/>
        <v>45702</v>
      </c>
      <c r="W342" s="127" t="str">
        <f t="shared" si="86"/>
        <v>Sell</v>
      </c>
      <c r="X342" s="128">
        <f t="shared" si="87"/>
        <v>4</v>
      </c>
      <c r="Y342" s="394">
        <v>124.95</v>
      </c>
      <c r="Z342" s="106">
        <f t="shared" si="88"/>
        <v>499.8</v>
      </c>
      <c r="AA342" s="106"/>
      <c r="AB342" s="139">
        <f t="shared" si="89"/>
        <v>-79.239999999999952</v>
      </c>
    </row>
    <row r="343" spans="2:30" x14ac:dyDescent="0.3">
      <c r="B343" s="339" t="s">
        <v>156</v>
      </c>
      <c r="C343" s="568" t="s">
        <v>61</v>
      </c>
      <c r="D343" s="568"/>
      <c r="E343" s="18" t="s">
        <v>151</v>
      </c>
      <c r="F343" s="512" t="s">
        <v>156</v>
      </c>
      <c r="G343" s="513" t="s">
        <v>154</v>
      </c>
      <c r="H343" s="513" t="s">
        <v>153</v>
      </c>
      <c r="I343" s="514"/>
      <c r="J343" s="445"/>
      <c r="K343" s="515">
        <v>45685</v>
      </c>
      <c r="L343" s="516" t="s">
        <v>47</v>
      </c>
      <c r="M343" s="517">
        <v>20</v>
      </c>
      <c r="N343" s="518">
        <v>122.59</v>
      </c>
      <c r="O343" s="519">
        <f t="shared" si="84"/>
        <v>-2451.8000000000002</v>
      </c>
      <c r="P343" s="520"/>
      <c r="Q343" s="521"/>
      <c r="R343" s="522"/>
      <c r="S343" s="520"/>
      <c r="T343" s="522"/>
      <c r="U343" s="348"/>
      <c r="V343" s="127">
        <v>45685</v>
      </c>
      <c r="W343" s="127" t="str">
        <f t="shared" si="86"/>
        <v>Sell</v>
      </c>
      <c r="X343" s="128">
        <f t="shared" si="87"/>
        <v>20</v>
      </c>
      <c r="Y343" s="394">
        <v>116.8366</v>
      </c>
      <c r="Z343" s="106">
        <f t="shared" ref="Z343" si="90">IF(W343="Buy",X343*Y343*-1,X343*Y343)</f>
        <v>2336.732</v>
      </c>
      <c r="AA343" s="106"/>
      <c r="AB343" s="139">
        <f t="shared" si="89"/>
        <v>-115.06800000000021</v>
      </c>
    </row>
    <row r="344" spans="2:30" x14ac:dyDescent="0.3">
      <c r="F344" s="129"/>
      <c r="G344" s="14"/>
      <c r="H344" s="12"/>
      <c r="I344" s="12"/>
      <c r="J344" s="12"/>
      <c r="K344" s="15"/>
      <c r="L344" s="17"/>
      <c r="M344" s="17"/>
      <c r="N344" s="77"/>
      <c r="O344" s="133"/>
      <c r="P344" s="152"/>
      <c r="Q344" s="17"/>
      <c r="R344" s="486"/>
      <c r="S344" s="152"/>
      <c r="T344" s="486"/>
      <c r="U344" s="133"/>
      <c r="V344" s="17"/>
      <c r="W344" s="17"/>
      <c r="X344" s="17"/>
      <c r="Y344" s="77"/>
      <c r="Z344" s="133"/>
      <c r="AA344" s="133"/>
      <c r="AB344" s="132"/>
      <c r="AC344" s="351"/>
    </row>
    <row r="345" spans="2:30" x14ac:dyDescent="0.3">
      <c r="B345" s="339" t="s">
        <v>157</v>
      </c>
      <c r="C345" s="79">
        <f>_xll.EPF.Yahoo.Price("tqqq")</f>
        <v>89.79</v>
      </c>
      <c r="D345" s="79"/>
      <c r="E345" s="18" t="s">
        <v>151</v>
      </c>
      <c r="F345" s="95" t="s">
        <v>157</v>
      </c>
      <c r="G345" s="340" t="s">
        <v>154</v>
      </c>
      <c r="H345" s="340" t="s">
        <v>153</v>
      </c>
      <c r="I345" s="341"/>
      <c r="J345" s="342"/>
      <c r="K345" s="346">
        <v>45663</v>
      </c>
      <c r="L345" s="412" t="s">
        <v>47</v>
      </c>
      <c r="M345" s="38">
        <v>2</v>
      </c>
      <c r="N345" s="344">
        <v>84.95</v>
      </c>
      <c r="O345" s="52">
        <f>IF(L345="Buy",M345*N345*-1,M345*N345)</f>
        <v>-169.9</v>
      </c>
      <c r="P345" s="478"/>
      <c r="Q345" s="511"/>
      <c r="R345" s="500"/>
      <c r="S345" s="478"/>
      <c r="T345" s="500"/>
      <c r="U345" s="348"/>
      <c r="V345" s="125">
        <f ca="1">($C$4)</f>
        <v>45702</v>
      </c>
      <c r="W345" s="125" t="str">
        <f>IF(L345="Buy","Sell","Buy")</f>
        <v>Sell</v>
      </c>
      <c r="X345" s="126">
        <f>SUM(M345)</f>
        <v>2</v>
      </c>
      <c r="Y345" s="197">
        <f>SUM(C345)</f>
        <v>89.79</v>
      </c>
      <c r="Z345" s="104">
        <f>IF(W345="Buy",X345*Y345*-1,X345*Y345)</f>
        <v>179.58</v>
      </c>
      <c r="AA345" s="104">
        <f>IF(H345="Yes",O345*-1,0)</f>
        <v>169.9</v>
      </c>
      <c r="AB345" s="138">
        <f>SUM(O345,Z345)</f>
        <v>9.6800000000000068</v>
      </c>
      <c r="AC345" s="352"/>
      <c r="AD345"/>
    </row>
    <row r="346" spans="2:30" x14ac:dyDescent="0.3">
      <c r="B346" s="339" t="s">
        <v>157</v>
      </c>
      <c r="C346" s="79">
        <f>_xll.EPF.Yahoo.Price("tqqq")</f>
        <v>89.79</v>
      </c>
      <c r="D346" s="79"/>
      <c r="E346" s="18" t="s">
        <v>151</v>
      </c>
      <c r="F346" s="95" t="s">
        <v>157</v>
      </c>
      <c r="G346" s="340" t="s">
        <v>154</v>
      </c>
      <c r="H346" s="340" t="s">
        <v>153</v>
      </c>
      <c r="I346" s="341"/>
      <c r="J346" s="342"/>
      <c r="K346" s="346">
        <v>45678</v>
      </c>
      <c r="L346" s="412" t="s">
        <v>47</v>
      </c>
      <c r="M346" s="38">
        <v>4</v>
      </c>
      <c r="N346" s="344">
        <v>84.5</v>
      </c>
      <c r="O346" s="52">
        <f>IF(L346="Buy",M346*N346*-1,M346*N346)</f>
        <v>-338</v>
      </c>
      <c r="P346" s="478"/>
      <c r="Q346" s="511"/>
      <c r="R346" s="500"/>
      <c r="S346" s="478"/>
      <c r="T346" s="500"/>
      <c r="U346" s="348"/>
      <c r="V346" s="125">
        <f ca="1">($C$4)</f>
        <v>45702</v>
      </c>
      <c r="W346" s="125" t="str">
        <f>IF(L346="Buy","Sell","Buy")</f>
        <v>Sell</v>
      </c>
      <c r="X346" s="126">
        <f>SUM(M346)</f>
        <v>4</v>
      </c>
      <c r="Y346" s="197">
        <f>SUM(C346)</f>
        <v>89.79</v>
      </c>
      <c r="Z346" s="104">
        <f>IF(W346="Buy",X346*Y346*-1,X346*Y346)</f>
        <v>359.16</v>
      </c>
      <c r="AA346" s="104">
        <f>IF(H346="Yes",O346*-1,0)</f>
        <v>338</v>
      </c>
      <c r="AB346" s="138">
        <f>SUM(O346,Z346)</f>
        <v>21.160000000000025</v>
      </c>
      <c r="AC346" s="269"/>
      <c r="AD346" s="354"/>
    </row>
    <row r="347" spans="2:30" x14ac:dyDescent="0.3">
      <c r="B347" s="339" t="s">
        <v>157</v>
      </c>
      <c r="C347" s="79">
        <f>_xll.EPF.Yahoo.Price("tqqq")</f>
        <v>89.79</v>
      </c>
      <c r="D347" s="79"/>
      <c r="E347" s="18" t="s">
        <v>151</v>
      </c>
      <c r="F347" s="95" t="s">
        <v>157</v>
      </c>
      <c r="G347" s="340" t="s">
        <v>154</v>
      </c>
      <c r="H347" s="340" t="s">
        <v>153</v>
      </c>
      <c r="I347" s="341"/>
      <c r="J347" s="342"/>
      <c r="K347" s="346">
        <v>45679</v>
      </c>
      <c r="L347" s="412" t="s">
        <v>47</v>
      </c>
      <c r="M347" s="38">
        <v>4</v>
      </c>
      <c r="N347" s="344">
        <v>86.85</v>
      </c>
      <c r="O347" s="52">
        <f>IF(L347="Buy",M347*N347*-1,M347*N347)</f>
        <v>-347.4</v>
      </c>
      <c r="P347" s="478"/>
      <c r="Q347" s="511"/>
      <c r="R347" s="500"/>
      <c r="S347" s="478"/>
      <c r="T347" s="500"/>
      <c r="U347" s="348"/>
      <c r="V347" s="125">
        <f ca="1">($C$4)</f>
        <v>45702</v>
      </c>
      <c r="W347" s="125" t="str">
        <f>IF(L347="Buy","Sell","Buy")</f>
        <v>Sell</v>
      </c>
      <c r="X347" s="126">
        <f>SUM(M347)</f>
        <v>4</v>
      </c>
      <c r="Y347" s="197">
        <f>SUM(C347)</f>
        <v>89.79</v>
      </c>
      <c r="Z347" s="104">
        <f>IF(W347="Buy",X347*Y347*-1,X347*Y347)</f>
        <v>359.16</v>
      </c>
      <c r="AA347" s="104">
        <f>IF(H347="Yes",O347*-1,0)</f>
        <v>347.4</v>
      </c>
      <c r="AB347" s="138">
        <f>SUM(O347,Z347)</f>
        <v>11.760000000000048</v>
      </c>
      <c r="AC347" s="270"/>
      <c r="AD347" s="37"/>
    </row>
    <row r="348" spans="2:30" x14ac:dyDescent="0.3">
      <c r="F348" s="140"/>
      <c r="G348" s="14"/>
      <c r="H348" s="12"/>
      <c r="I348" s="12"/>
      <c r="J348" s="12"/>
      <c r="K348" s="15"/>
      <c r="L348" s="17"/>
      <c r="M348" s="17"/>
      <c r="N348" s="77"/>
      <c r="O348" s="133"/>
      <c r="P348" s="152"/>
      <c r="Q348" s="17"/>
      <c r="R348" s="486"/>
      <c r="S348" s="152"/>
      <c r="T348" s="486"/>
      <c r="U348" s="133"/>
      <c r="V348" s="17"/>
      <c r="W348" s="17"/>
      <c r="X348" s="260"/>
      <c r="Y348" s="259"/>
      <c r="Z348" s="311"/>
      <c r="AA348" s="196"/>
      <c r="AB348" s="318"/>
      <c r="AC348" s="271"/>
      <c r="AD348" s="71"/>
    </row>
    <row r="349" spans="2:30" x14ac:dyDescent="0.3">
      <c r="B349" s="339" t="s">
        <v>158</v>
      </c>
      <c r="C349" s="79">
        <f>_xll.EPF.Yahoo.Price("wmt")</f>
        <v>104.31</v>
      </c>
      <c r="D349" s="79"/>
      <c r="E349" s="759" t="s">
        <v>246</v>
      </c>
      <c r="F349" s="95" t="s">
        <v>158</v>
      </c>
      <c r="G349" s="340" t="s">
        <v>154</v>
      </c>
      <c r="H349" s="340" t="s">
        <v>153</v>
      </c>
      <c r="I349" s="341"/>
      <c r="J349" s="342"/>
      <c r="K349" s="346">
        <v>45663</v>
      </c>
      <c r="L349" s="412" t="s">
        <v>47</v>
      </c>
      <c r="M349" s="38">
        <v>22</v>
      </c>
      <c r="N349" s="344">
        <v>91.73</v>
      </c>
      <c r="O349" s="52">
        <f t="shared" ref="O349:O358" si="91">IF(L349="Buy",M349*N349*-1,M349*N349)</f>
        <v>-2018.0600000000002</v>
      </c>
      <c r="P349" s="478"/>
      <c r="Q349" s="511"/>
      <c r="R349" s="500"/>
      <c r="S349" s="478"/>
      <c r="T349" s="500"/>
      <c r="U349" s="348"/>
      <c r="V349" s="125">
        <f t="shared" ref="V349:V361" ca="1" si="92">($C$4)</f>
        <v>45702</v>
      </c>
      <c r="W349" s="125" t="str">
        <f t="shared" ref="W349:W358" si="93">IF(L349="Buy","Sell","Buy")</f>
        <v>Sell</v>
      </c>
      <c r="X349" s="126">
        <f t="shared" ref="X349:X358" si="94">SUM(M349)</f>
        <v>22</v>
      </c>
      <c r="Y349" s="197">
        <f t="shared" ref="Y349:Y358" si="95">SUM(C349)</f>
        <v>104.31</v>
      </c>
      <c r="Z349" s="104">
        <f t="shared" ref="Z349:Z354" si="96">IF(W349="Buy",X349*Y349*-1,X349*Y349)</f>
        <v>2294.8200000000002</v>
      </c>
      <c r="AA349" s="104">
        <f t="shared" ref="AA349:AA358" si="97">IF(H349="Yes",O349*-1,0)</f>
        <v>2018.0600000000002</v>
      </c>
      <c r="AB349" s="138">
        <f t="shared" ref="AB349:AB357" si="98">SUM(O349,Z349)</f>
        <v>276.76</v>
      </c>
    </row>
    <row r="350" spans="2:30" x14ac:dyDescent="0.3">
      <c r="B350" s="339" t="s">
        <v>158</v>
      </c>
      <c r="C350" s="79">
        <f>_xll.EPF.Yahoo.Price("wmt")</f>
        <v>104.31</v>
      </c>
      <c r="D350" s="79"/>
      <c r="E350" s="759" t="s">
        <v>246</v>
      </c>
      <c r="F350" s="95" t="s">
        <v>158</v>
      </c>
      <c r="G350" s="340" t="s">
        <v>154</v>
      </c>
      <c r="H350" s="340" t="s">
        <v>153</v>
      </c>
      <c r="I350" s="341"/>
      <c r="J350" s="342"/>
      <c r="K350" s="346">
        <v>45667</v>
      </c>
      <c r="L350" s="412" t="s">
        <v>47</v>
      </c>
      <c r="M350" s="38">
        <v>12</v>
      </c>
      <c r="N350" s="344">
        <v>92.7</v>
      </c>
      <c r="O350" s="52">
        <f t="shared" si="91"/>
        <v>-1112.4000000000001</v>
      </c>
      <c r="P350" s="478"/>
      <c r="Q350" s="511"/>
      <c r="R350" s="500"/>
      <c r="S350" s="478"/>
      <c r="T350" s="500"/>
      <c r="U350" s="348"/>
      <c r="V350" s="125">
        <f t="shared" ca="1" si="92"/>
        <v>45702</v>
      </c>
      <c r="W350" s="125" t="str">
        <f t="shared" si="93"/>
        <v>Sell</v>
      </c>
      <c r="X350" s="126">
        <f t="shared" si="94"/>
        <v>12</v>
      </c>
      <c r="Y350" s="197">
        <f t="shared" si="95"/>
        <v>104.31</v>
      </c>
      <c r="Z350" s="104">
        <f t="shared" si="96"/>
        <v>1251.72</v>
      </c>
      <c r="AA350" s="104">
        <f t="shared" si="97"/>
        <v>1112.4000000000001</v>
      </c>
      <c r="AB350" s="138">
        <f t="shared" si="98"/>
        <v>139.31999999999994</v>
      </c>
    </row>
    <row r="351" spans="2:30" x14ac:dyDescent="0.3">
      <c r="B351" s="339" t="s">
        <v>158</v>
      </c>
      <c r="C351" s="79">
        <f>_xll.EPF.Yahoo.Price("wmt")</f>
        <v>104.31</v>
      </c>
      <c r="D351" s="79"/>
      <c r="E351" s="759" t="s">
        <v>246</v>
      </c>
      <c r="F351" s="95" t="s">
        <v>158</v>
      </c>
      <c r="G351" s="340" t="s">
        <v>154</v>
      </c>
      <c r="H351" s="340" t="s">
        <v>153</v>
      </c>
      <c r="I351" s="341"/>
      <c r="J351" s="342"/>
      <c r="K351" s="346">
        <v>45678</v>
      </c>
      <c r="L351" s="412" t="s">
        <v>47</v>
      </c>
      <c r="M351" s="38">
        <v>12</v>
      </c>
      <c r="N351" s="344">
        <v>93.39</v>
      </c>
      <c r="O351" s="52">
        <f t="shared" si="91"/>
        <v>-1120.68</v>
      </c>
      <c r="P351" s="478"/>
      <c r="Q351" s="511"/>
      <c r="R351" s="500"/>
      <c r="S351" s="478"/>
      <c r="T351" s="500"/>
      <c r="U351" s="348"/>
      <c r="V351" s="125">
        <f t="shared" ca="1" si="92"/>
        <v>45702</v>
      </c>
      <c r="W351" s="125" t="str">
        <f t="shared" si="93"/>
        <v>Sell</v>
      </c>
      <c r="X351" s="126">
        <f t="shared" si="94"/>
        <v>12</v>
      </c>
      <c r="Y351" s="197">
        <f t="shared" si="95"/>
        <v>104.31</v>
      </c>
      <c r="Z351" s="104">
        <f t="shared" si="96"/>
        <v>1251.72</v>
      </c>
      <c r="AA351" s="104">
        <f t="shared" si="97"/>
        <v>1120.68</v>
      </c>
      <c r="AB351" s="138">
        <f t="shared" si="98"/>
        <v>131.03999999999996</v>
      </c>
    </row>
    <row r="352" spans="2:30" x14ac:dyDescent="0.3">
      <c r="B352" s="339" t="s">
        <v>158</v>
      </c>
      <c r="C352" s="79">
        <f>_xll.EPF.Yahoo.Price("wmt")</f>
        <v>104.31</v>
      </c>
      <c r="D352" s="79"/>
      <c r="E352" s="759" t="s">
        <v>246</v>
      </c>
      <c r="F352" s="95" t="s">
        <v>158</v>
      </c>
      <c r="G352" s="340" t="s">
        <v>154</v>
      </c>
      <c r="H352" s="340" t="s">
        <v>153</v>
      </c>
      <c r="I352" s="341"/>
      <c r="J352" s="342"/>
      <c r="K352" s="346">
        <v>45678</v>
      </c>
      <c r="L352" s="412" t="s">
        <v>47</v>
      </c>
      <c r="M352" s="38">
        <v>10</v>
      </c>
      <c r="N352" s="344">
        <v>96.86</v>
      </c>
      <c r="O352" s="52">
        <f t="shared" si="91"/>
        <v>-968.6</v>
      </c>
      <c r="P352" s="478"/>
      <c r="Q352" s="511"/>
      <c r="R352" s="500"/>
      <c r="S352" s="478"/>
      <c r="T352" s="500"/>
      <c r="U352" s="348"/>
      <c r="V352" s="125">
        <f t="shared" ca="1" si="92"/>
        <v>45702</v>
      </c>
      <c r="W352" s="125" t="str">
        <f t="shared" si="93"/>
        <v>Sell</v>
      </c>
      <c r="X352" s="126">
        <f t="shared" si="94"/>
        <v>10</v>
      </c>
      <c r="Y352" s="197">
        <f t="shared" si="95"/>
        <v>104.31</v>
      </c>
      <c r="Z352" s="104">
        <f t="shared" si="96"/>
        <v>1043.0999999999999</v>
      </c>
      <c r="AA352" s="104">
        <f t="shared" si="97"/>
        <v>968.6</v>
      </c>
      <c r="AB352" s="138">
        <f t="shared" si="98"/>
        <v>74.499999999999886</v>
      </c>
    </row>
    <row r="353" spans="2:29" x14ac:dyDescent="0.3">
      <c r="B353" s="339" t="s">
        <v>158</v>
      </c>
      <c r="C353" s="79">
        <f>_xll.EPF.Yahoo.Price("wmt")</f>
        <v>104.31</v>
      </c>
      <c r="D353" s="79"/>
      <c r="E353" s="759" t="s">
        <v>246</v>
      </c>
      <c r="F353" s="95" t="s">
        <v>158</v>
      </c>
      <c r="G353" s="340" t="s">
        <v>154</v>
      </c>
      <c r="H353" s="340" t="s">
        <v>153</v>
      </c>
      <c r="I353" s="341"/>
      <c r="J353" s="342"/>
      <c r="K353" s="346">
        <v>45685</v>
      </c>
      <c r="L353" s="412" t="s">
        <v>47</v>
      </c>
      <c r="M353" s="38">
        <v>2</v>
      </c>
      <c r="N353" s="344">
        <v>97.23</v>
      </c>
      <c r="O353" s="52">
        <f t="shared" si="91"/>
        <v>-194.46</v>
      </c>
      <c r="P353" s="478"/>
      <c r="Q353" s="511"/>
      <c r="R353" s="500"/>
      <c r="S353" s="478"/>
      <c r="T353" s="500"/>
      <c r="U353" s="348"/>
      <c r="V353" s="125">
        <f t="shared" ca="1" si="92"/>
        <v>45702</v>
      </c>
      <c r="W353" s="125" t="str">
        <f t="shared" si="93"/>
        <v>Sell</v>
      </c>
      <c r="X353" s="126">
        <f t="shared" si="94"/>
        <v>2</v>
      </c>
      <c r="Y353" s="197">
        <f t="shared" si="95"/>
        <v>104.31</v>
      </c>
      <c r="Z353" s="104">
        <f t="shared" si="96"/>
        <v>208.62</v>
      </c>
      <c r="AA353" s="104">
        <f t="shared" si="97"/>
        <v>194.46</v>
      </c>
      <c r="AB353" s="138">
        <f t="shared" si="98"/>
        <v>14.159999999999997</v>
      </c>
    </row>
    <row r="354" spans="2:29" x14ac:dyDescent="0.3">
      <c r="B354" s="339" t="s">
        <v>158</v>
      </c>
      <c r="C354" s="79">
        <f>_xll.EPF.Yahoo.Price("wmt")</f>
        <v>104.31</v>
      </c>
      <c r="D354" s="79"/>
      <c r="E354" s="759" t="s">
        <v>246</v>
      </c>
      <c r="F354" s="95" t="s">
        <v>158</v>
      </c>
      <c r="G354" s="340" t="s">
        <v>154</v>
      </c>
      <c r="H354" s="340" t="s">
        <v>153</v>
      </c>
      <c r="I354" s="341"/>
      <c r="J354" s="342"/>
      <c r="K354" s="346">
        <v>45687</v>
      </c>
      <c r="L354" s="412" t="s">
        <v>47</v>
      </c>
      <c r="M354" s="38">
        <v>40</v>
      </c>
      <c r="N354" s="344">
        <v>98.69</v>
      </c>
      <c r="O354" s="52">
        <f t="shared" si="91"/>
        <v>-3947.6</v>
      </c>
      <c r="P354" s="478"/>
      <c r="Q354" s="511"/>
      <c r="R354" s="500"/>
      <c r="S354" s="478"/>
      <c r="T354" s="500"/>
      <c r="U354" s="348"/>
      <c r="V354" s="125">
        <f t="shared" ca="1" si="92"/>
        <v>45702</v>
      </c>
      <c r="W354" s="125" t="str">
        <f t="shared" si="93"/>
        <v>Sell</v>
      </c>
      <c r="X354" s="126">
        <f t="shared" si="94"/>
        <v>40</v>
      </c>
      <c r="Y354" s="197">
        <f t="shared" si="95"/>
        <v>104.31</v>
      </c>
      <c r="Z354" s="104">
        <f t="shared" si="96"/>
        <v>4172.3999999999996</v>
      </c>
      <c r="AA354" s="104">
        <f t="shared" si="97"/>
        <v>3947.6</v>
      </c>
      <c r="AB354" s="138">
        <f t="shared" si="98"/>
        <v>224.79999999999973</v>
      </c>
    </row>
    <row r="355" spans="2:29" x14ac:dyDescent="0.3">
      <c r="B355" s="339" t="s">
        <v>158</v>
      </c>
      <c r="C355" s="79">
        <f>_xll.EPF.Yahoo.Price("wmt")</f>
        <v>104.31</v>
      </c>
      <c r="D355" s="79"/>
      <c r="E355" s="759" t="s">
        <v>246</v>
      </c>
      <c r="F355" s="95" t="s">
        <v>158</v>
      </c>
      <c r="G355" s="340" t="s">
        <v>154</v>
      </c>
      <c r="H355" s="340" t="s">
        <v>153</v>
      </c>
      <c r="I355" s="341"/>
      <c r="J355" s="342"/>
      <c r="K355" s="346">
        <v>45691</v>
      </c>
      <c r="L355" s="412" t="s">
        <v>47</v>
      </c>
      <c r="M355" s="38">
        <v>41</v>
      </c>
      <c r="N355" s="344">
        <v>99.55</v>
      </c>
      <c r="O355" s="52">
        <f t="shared" si="91"/>
        <v>-4081.5499999999997</v>
      </c>
      <c r="P355" s="478"/>
      <c r="Q355" s="511"/>
      <c r="R355" s="500"/>
      <c r="S355" s="478"/>
      <c r="T355" s="500"/>
      <c r="U355" s="348"/>
      <c r="V355" s="125">
        <f t="shared" ca="1" si="92"/>
        <v>45702</v>
      </c>
      <c r="W355" s="125" t="str">
        <f t="shared" si="93"/>
        <v>Sell</v>
      </c>
      <c r="X355" s="126">
        <f t="shared" si="94"/>
        <v>41</v>
      </c>
      <c r="Y355" s="197">
        <f t="shared" si="95"/>
        <v>104.31</v>
      </c>
      <c r="Z355" s="104">
        <f t="shared" ref="Z355" si="99">IF(W355="Buy",X355*Y355*-1,X355*Y355)</f>
        <v>4276.71</v>
      </c>
      <c r="AA355" s="104">
        <f t="shared" si="97"/>
        <v>4081.5499999999997</v>
      </c>
      <c r="AB355" s="138">
        <f t="shared" si="98"/>
        <v>195.16000000000031</v>
      </c>
    </row>
    <row r="356" spans="2:29" x14ac:dyDescent="0.3">
      <c r="B356" s="339" t="s">
        <v>158</v>
      </c>
      <c r="C356" s="79">
        <f>_xll.EPF.Yahoo.Price("wmt")</f>
        <v>104.31</v>
      </c>
      <c r="D356" s="79"/>
      <c r="E356" s="759" t="s">
        <v>246</v>
      </c>
      <c r="F356" s="95" t="s">
        <v>158</v>
      </c>
      <c r="G356" s="340" t="s">
        <v>154</v>
      </c>
      <c r="H356" s="340" t="s">
        <v>153</v>
      </c>
      <c r="I356" s="341"/>
      <c r="J356" s="342"/>
      <c r="K356" s="346">
        <v>45692</v>
      </c>
      <c r="L356" s="412" t="s">
        <v>47</v>
      </c>
      <c r="M356" s="38">
        <v>38</v>
      </c>
      <c r="N356" s="344">
        <v>100.6435</v>
      </c>
      <c r="O356" s="52">
        <f t="shared" si="91"/>
        <v>-3824.453</v>
      </c>
      <c r="P356" s="478"/>
      <c r="Q356" s="511"/>
      <c r="R356" s="500"/>
      <c r="S356" s="478"/>
      <c r="T356" s="500"/>
      <c r="U356" s="348"/>
      <c r="V356" s="125">
        <f t="shared" ca="1" si="92"/>
        <v>45702</v>
      </c>
      <c r="W356" s="125" t="str">
        <f t="shared" si="93"/>
        <v>Sell</v>
      </c>
      <c r="X356" s="126">
        <f t="shared" si="94"/>
        <v>38</v>
      </c>
      <c r="Y356" s="197">
        <f t="shared" si="95"/>
        <v>104.31</v>
      </c>
      <c r="Z356" s="104">
        <f t="shared" ref="Z356" si="100">IF(W356="Buy",X356*Y356*-1,X356*Y356)</f>
        <v>3963.78</v>
      </c>
      <c r="AA356" s="104">
        <f t="shared" si="97"/>
        <v>3824.453</v>
      </c>
      <c r="AB356" s="138">
        <f t="shared" si="98"/>
        <v>139.32700000000023</v>
      </c>
    </row>
    <row r="357" spans="2:29" x14ac:dyDescent="0.3">
      <c r="B357" s="339" t="s">
        <v>158</v>
      </c>
      <c r="C357" s="79">
        <f>_xll.EPF.Yahoo.Price("wmt")</f>
        <v>104.31</v>
      </c>
      <c r="D357" s="79"/>
      <c r="E357" s="759" t="s">
        <v>246</v>
      </c>
      <c r="F357" s="95" t="s">
        <v>158</v>
      </c>
      <c r="G357" s="340" t="s">
        <v>154</v>
      </c>
      <c r="H357" s="340" t="s">
        <v>153</v>
      </c>
      <c r="I357" s="341"/>
      <c r="J357" s="342"/>
      <c r="K357" s="346">
        <v>45692</v>
      </c>
      <c r="L357" s="412" t="s">
        <v>47</v>
      </c>
      <c r="M357" s="38">
        <v>22</v>
      </c>
      <c r="N357" s="344">
        <v>102.08</v>
      </c>
      <c r="O357" s="52">
        <f t="shared" si="91"/>
        <v>-2245.7599999999998</v>
      </c>
      <c r="P357" s="478"/>
      <c r="Q357" s="511"/>
      <c r="R357" s="500"/>
      <c r="S357" s="478"/>
      <c r="T357" s="500"/>
      <c r="U357" s="348"/>
      <c r="V357" s="125">
        <f t="shared" ca="1" si="92"/>
        <v>45702</v>
      </c>
      <c r="W357" s="125" t="str">
        <f t="shared" si="93"/>
        <v>Sell</v>
      </c>
      <c r="X357" s="126">
        <f t="shared" si="94"/>
        <v>22</v>
      </c>
      <c r="Y357" s="197">
        <f t="shared" si="95"/>
        <v>104.31</v>
      </c>
      <c r="Z357" s="104">
        <f t="shared" ref="Z357" si="101">IF(W357="Buy",X357*Y357*-1,X357*Y357)</f>
        <v>2294.8200000000002</v>
      </c>
      <c r="AA357" s="104">
        <f t="shared" si="97"/>
        <v>2245.7599999999998</v>
      </c>
      <c r="AB357" s="138">
        <f t="shared" si="98"/>
        <v>49.0600000000004</v>
      </c>
    </row>
    <row r="358" spans="2:29" x14ac:dyDescent="0.3">
      <c r="B358" s="339" t="s">
        <v>158</v>
      </c>
      <c r="C358" s="79">
        <f>_xll.EPF.Yahoo.Price("wmt")</f>
        <v>104.31</v>
      </c>
      <c r="D358" s="79"/>
      <c r="E358" s="759" t="s">
        <v>246</v>
      </c>
      <c r="F358" s="95" t="s">
        <v>158</v>
      </c>
      <c r="G358" s="340" t="s">
        <v>154</v>
      </c>
      <c r="H358" s="340" t="s">
        <v>153</v>
      </c>
      <c r="I358" s="341"/>
      <c r="J358" s="342"/>
      <c r="K358" s="346">
        <v>45694</v>
      </c>
      <c r="L358" s="412" t="s">
        <v>47</v>
      </c>
      <c r="M358" s="38">
        <v>24</v>
      </c>
      <c r="N358" s="344">
        <v>102.48</v>
      </c>
      <c r="O358" s="52">
        <f t="shared" si="91"/>
        <v>-2459.52</v>
      </c>
      <c r="P358" s="478"/>
      <c r="Q358" s="511"/>
      <c r="R358" s="500"/>
      <c r="S358" s="478"/>
      <c r="T358" s="500"/>
      <c r="U358" s="348"/>
      <c r="V358" s="125">
        <f t="shared" ca="1" si="92"/>
        <v>45702</v>
      </c>
      <c r="W358" s="125" t="str">
        <f t="shared" si="93"/>
        <v>Sell</v>
      </c>
      <c r="X358" s="126">
        <f t="shared" si="94"/>
        <v>24</v>
      </c>
      <c r="Y358" s="197">
        <f t="shared" si="95"/>
        <v>104.31</v>
      </c>
      <c r="Z358" s="104">
        <f t="shared" ref="Z358" si="102">IF(W358="Buy",X358*Y358*-1,X358*Y358)</f>
        <v>2503.44</v>
      </c>
      <c r="AA358" s="104">
        <f t="shared" si="97"/>
        <v>2459.52</v>
      </c>
      <c r="AB358" s="138">
        <f t="shared" ref="AB358" si="103">SUM(O358,Z358)</f>
        <v>43.920000000000073</v>
      </c>
      <c r="AC358" s="758"/>
    </row>
    <row r="359" spans="2:29" x14ac:dyDescent="0.3">
      <c r="B359" s="339" t="s">
        <v>158</v>
      </c>
      <c r="C359" s="79">
        <f>_xll.EPF.Yahoo.Price("wmt")</f>
        <v>104.31</v>
      </c>
      <c r="D359" s="79"/>
      <c r="E359" s="759" t="s">
        <v>246</v>
      </c>
      <c r="F359" s="95" t="s">
        <v>158</v>
      </c>
      <c r="G359" s="340" t="s">
        <v>154</v>
      </c>
      <c r="H359" s="340" t="s">
        <v>153</v>
      </c>
      <c r="I359" s="341"/>
      <c r="J359" s="342"/>
      <c r="K359" s="346">
        <v>45694</v>
      </c>
      <c r="L359" s="412" t="s">
        <v>47</v>
      </c>
      <c r="M359" s="38">
        <v>12</v>
      </c>
      <c r="N359" s="344">
        <v>103.03</v>
      </c>
      <c r="O359" s="52">
        <f t="shared" ref="O359" si="104">IF(L359="Buy",M359*N359*-1,M359*N359)</f>
        <v>-1236.3600000000001</v>
      </c>
      <c r="P359" s="478"/>
      <c r="Q359" s="511"/>
      <c r="R359" s="500"/>
      <c r="S359" s="478"/>
      <c r="T359" s="500"/>
      <c r="U359" s="348"/>
      <c r="V359" s="125">
        <f t="shared" ca="1" si="92"/>
        <v>45702</v>
      </c>
      <c r="W359" s="125" t="str">
        <f t="shared" ref="W359" si="105">IF(L359="Buy","Sell","Buy")</f>
        <v>Sell</v>
      </c>
      <c r="X359" s="126">
        <f t="shared" ref="X359" si="106">SUM(M359)</f>
        <v>12</v>
      </c>
      <c r="Y359" s="197">
        <f t="shared" ref="Y359" si="107">SUM(C359)</f>
        <v>104.31</v>
      </c>
      <c r="Z359" s="104">
        <f t="shared" ref="Z359" si="108">IF(W359="Buy",X359*Y359*-1,X359*Y359)</f>
        <v>1251.72</v>
      </c>
      <c r="AA359" s="104">
        <f t="shared" ref="AA359" si="109">IF(H359="Yes",O359*-1,0)</f>
        <v>1236.3600000000001</v>
      </c>
      <c r="AB359" s="138">
        <f t="shared" ref="AB359" si="110">SUM(O359,Z359)</f>
        <v>15.3599999999999</v>
      </c>
      <c r="AC359" s="217"/>
    </row>
    <row r="360" spans="2:29" x14ac:dyDescent="0.3">
      <c r="B360" s="339" t="s">
        <v>158</v>
      </c>
      <c r="C360" s="79">
        <f>_xll.EPF.Yahoo.Price("wmt")</f>
        <v>104.31</v>
      </c>
      <c r="D360" s="79"/>
      <c r="E360" s="759" t="s">
        <v>246</v>
      </c>
      <c r="F360" s="95" t="s">
        <v>158</v>
      </c>
      <c r="G360" s="340" t="s">
        <v>154</v>
      </c>
      <c r="H360" s="340" t="s">
        <v>153</v>
      </c>
      <c r="I360" s="341"/>
      <c r="J360" s="342"/>
      <c r="K360" s="346">
        <v>45701</v>
      </c>
      <c r="L360" s="412" t="s">
        <v>47</v>
      </c>
      <c r="M360" s="38">
        <v>14</v>
      </c>
      <c r="N360" s="344">
        <v>104</v>
      </c>
      <c r="O360" s="52">
        <f t="shared" ref="O360" si="111">IF(L360="Buy",M360*N360*-1,M360*N360)</f>
        <v>-1456</v>
      </c>
      <c r="P360" s="478"/>
      <c r="Q360" s="511"/>
      <c r="R360" s="500"/>
      <c r="S360" s="478"/>
      <c r="T360" s="500"/>
      <c r="U360" s="348"/>
      <c r="V360" s="125">
        <f t="shared" ca="1" si="92"/>
        <v>45702</v>
      </c>
      <c r="W360" s="125" t="str">
        <f t="shared" ref="W360" si="112">IF(L360="Buy","Sell","Buy")</f>
        <v>Sell</v>
      </c>
      <c r="X360" s="126">
        <f t="shared" ref="X360" si="113">SUM(M360)</f>
        <v>14</v>
      </c>
      <c r="Y360" s="197">
        <f t="shared" ref="Y360" si="114">SUM(C360)</f>
        <v>104.31</v>
      </c>
      <c r="Z360" s="104">
        <f t="shared" ref="Z360" si="115">IF(W360="Buy",X360*Y360*-1,X360*Y360)</f>
        <v>1460.3400000000001</v>
      </c>
      <c r="AA360" s="104">
        <f t="shared" ref="AA360" si="116">IF(H360="Yes",O360*-1,0)</f>
        <v>1456</v>
      </c>
      <c r="AB360" s="138">
        <f t="shared" ref="AB360" si="117">SUM(O360,Z360)</f>
        <v>4.3400000000001455</v>
      </c>
      <c r="AC360" s="217"/>
    </row>
    <row r="361" spans="2:29" x14ac:dyDescent="0.3">
      <c r="B361" s="339" t="s">
        <v>158</v>
      </c>
      <c r="C361" s="79">
        <f>_xll.EPF.Yahoo.Price("wmt")</f>
        <v>104.31</v>
      </c>
      <c r="D361" s="79"/>
      <c r="E361" s="759" t="s">
        <v>246</v>
      </c>
      <c r="F361" s="793" t="s">
        <v>158</v>
      </c>
      <c r="G361" s="766" t="s">
        <v>154</v>
      </c>
      <c r="H361" s="766" t="s">
        <v>153</v>
      </c>
      <c r="I361" s="794"/>
      <c r="J361" s="795"/>
      <c r="K361" s="796">
        <v>45701</v>
      </c>
      <c r="L361" s="797" t="s">
        <v>47</v>
      </c>
      <c r="M361" s="798">
        <v>2</v>
      </c>
      <c r="N361" s="669">
        <f>C361</f>
        <v>104.31</v>
      </c>
      <c r="O361" s="788">
        <f t="shared" ref="O361" si="118">IF(L361="Buy",M361*N361*-1,M361*N361)</f>
        <v>-208.62</v>
      </c>
      <c r="P361" s="789" t="s">
        <v>256</v>
      </c>
      <c r="Q361" s="790"/>
      <c r="R361" s="791"/>
      <c r="S361" s="792"/>
      <c r="T361" s="791"/>
      <c r="U361" s="348"/>
      <c r="V361" s="464">
        <f t="shared" ca="1" si="92"/>
        <v>45702</v>
      </c>
      <c r="W361" s="464" t="str">
        <f t="shared" ref="W361" si="119">IF(L361="Buy","Sell","Buy")</f>
        <v>Sell</v>
      </c>
      <c r="X361" s="799">
        <f t="shared" ref="X361" si="120">SUM(M361)</f>
        <v>2</v>
      </c>
      <c r="Y361" s="337">
        <f t="shared" ref="Y361" si="121">SUM(C361)</f>
        <v>104.31</v>
      </c>
      <c r="Z361" s="785">
        <f t="shared" ref="Z361" si="122">IF(W361="Buy",X361*Y361*-1,X361*Y361)</f>
        <v>208.62</v>
      </c>
      <c r="AA361" s="785">
        <f t="shared" ref="AA361" si="123">IF(H361="Yes",O361*-1,0)</f>
        <v>208.62</v>
      </c>
      <c r="AB361" s="784">
        <f t="shared" ref="AB361" si="124">SUM(O361,Z361)</f>
        <v>0</v>
      </c>
      <c r="AC361" s="217"/>
    </row>
    <row r="362" spans="2:29" x14ac:dyDescent="0.3">
      <c r="B362" s="5"/>
      <c r="C362" s="5"/>
      <c r="D362" s="5"/>
      <c r="F362" s="780"/>
      <c r="G362" s="781"/>
      <c r="H362" s="781"/>
      <c r="I362" s="782"/>
      <c r="J362" s="188"/>
      <c r="K362" s="449"/>
      <c r="L362" s="437"/>
      <c r="M362" s="438"/>
      <c r="N362" s="783"/>
      <c r="O362" s="184"/>
      <c r="P362" s="642"/>
      <c r="Q362" s="643"/>
      <c r="R362" s="644"/>
      <c r="S362" s="642"/>
      <c r="T362" s="644"/>
      <c r="U362" s="348"/>
      <c r="V362" s="464"/>
      <c r="W362" s="786" t="s">
        <v>255</v>
      </c>
      <c r="X362" s="787">
        <f>SUM(X349:X361)</f>
        <v>251</v>
      </c>
      <c r="Y362" s="259"/>
      <c r="AA362" s="785" t="s">
        <v>255</v>
      </c>
      <c r="AB362" s="784">
        <f>SUM(AB349:AB360)</f>
        <v>1307.7470000000005</v>
      </c>
      <c r="AC362" s="217"/>
    </row>
    <row r="363" spans="2:29" x14ac:dyDescent="0.3">
      <c r="F363" s="638"/>
      <c r="G363" s="639"/>
      <c r="H363" s="639"/>
      <c r="I363" s="640"/>
      <c r="J363" s="639"/>
      <c r="K363" s="449"/>
      <c r="L363" s="437"/>
      <c r="M363" s="438"/>
      <c r="N363" s="641"/>
      <c r="O363" s="184"/>
      <c r="P363" s="642"/>
      <c r="Q363" s="643"/>
      <c r="R363" s="644"/>
      <c r="S363" s="642"/>
      <c r="T363" s="644"/>
      <c r="U363" s="348"/>
      <c r="V363" s="135"/>
      <c r="W363" s="135"/>
      <c r="X363" s="131"/>
      <c r="Y363" s="259"/>
      <c r="Z363" s="137"/>
      <c r="AA363" s="137"/>
      <c r="AB363" s="141"/>
    </row>
    <row r="364" spans="2:29" x14ac:dyDescent="0.3">
      <c r="B364" s="339" t="s">
        <v>160</v>
      </c>
      <c r="C364" s="79">
        <f>_xll.EPF.Yahoo.Price("amzn")</f>
        <v>229.03</v>
      </c>
      <c r="D364" s="79"/>
      <c r="E364" s="18" t="s">
        <v>151</v>
      </c>
      <c r="F364" s="95" t="s">
        <v>179</v>
      </c>
      <c r="G364" s="340" t="s">
        <v>154</v>
      </c>
      <c r="H364" s="340" t="s">
        <v>153</v>
      </c>
      <c r="I364" s="341"/>
      <c r="J364" s="342"/>
      <c r="K364" s="346">
        <v>45679</v>
      </c>
      <c r="L364" s="412" t="s">
        <v>47</v>
      </c>
      <c r="M364" s="38">
        <v>2</v>
      </c>
      <c r="N364" s="344">
        <v>232.09</v>
      </c>
      <c r="O364" s="52">
        <f>IF(L364="Buy",M364*N364*-1,M364*N364)</f>
        <v>-464.18</v>
      </c>
      <c r="P364" s="478"/>
      <c r="Q364" s="511"/>
      <c r="R364" s="500"/>
      <c r="S364" s="478"/>
      <c r="T364" s="500"/>
      <c r="U364" s="348"/>
      <c r="V364" s="125">
        <f ca="1">($C$4)</f>
        <v>45702</v>
      </c>
      <c r="W364" s="125" t="str">
        <f>IF(L364="Buy","Sell","Buy")</f>
        <v>Sell</v>
      </c>
      <c r="X364" s="126">
        <f>SUM(M364)</f>
        <v>2</v>
      </c>
      <c r="Y364" s="197">
        <f>SUM(C364)</f>
        <v>229.03</v>
      </c>
      <c r="Z364" s="104">
        <f>IF(W364="Buy",X364*Y364*-1,X364*Y364)</f>
        <v>458.06</v>
      </c>
      <c r="AA364" s="104">
        <f>IF(H364="Yes",O364*-1,0)</f>
        <v>464.18</v>
      </c>
      <c r="AB364" s="138">
        <f>SUM(O364,Z364)</f>
        <v>-6.1200000000000045</v>
      </c>
    </row>
    <row r="365" spans="2:29" x14ac:dyDescent="0.3">
      <c r="B365" s="339" t="s">
        <v>160</v>
      </c>
      <c r="C365" s="568" t="s">
        <v>61</v>
      </c>
      <c r="D365" s="568"/>
      <c r="E365" s="278" t="s">
        <v>138</v>
      </c>
      <c r="F365" s="512" t="s">
        <v>160</v>
      </c>
      <c r="G365" s="513" t="s">
        <v>154</v>
      </c>
      <c r="H365" s="513" t="s">
        <v>153</v>
      </c>
      <c r="I365" s="514"/>
      <c r="J365" s="445"/>
      <c r="K365" s="515">
        <v>45679</v>
      </c>
      <c r="L365" s="516" t="s">
        <v>47</v>
      </c>
      <c r="M365" s="517">
        <v>4</v>
      </c>
      <c r="N365" s="518">
        <v>238.89</v>
      </c>
      <c r="O365" s="519">
        <f>IF(L365="Buy",M365*N365*-1,M365*N365)</f>
        <v>-955.56</v>
      </c>
      <c r="P365" s="520"/>
      <c r="Q365" s="521"/>
      <c r="R365" s="522"/>
      <c r="S365" s="520"/>
      <c r="T365" s="522"/>
      <c r="U365" s="348"/>
      <c r="V365" s="127">
        <v>46425</v>
      </c>
      <c r="W365" s="127" t="str">
        <f>IF(L365="Buy","Sell","Buy")</f>
        <v>Sell</v>
      </c>
      <c r="X365" s="128">
        <f>SUM(M365)</f>
        <v>4</v>
      </c>
      <c r="Y365" s="706">
        <v>229.33</v>
      </c>
      <c r="Z365" s="106">
        <f>IF(W365="Buy",X365*Y365*-1,X365*Y365)</f>
        <v>917.32</v>
      </c>
      <c r="AA365" s="106"/>
      <c r="AB365" s="139">
        <f>SUM(O365,Z365)</f>
        <v>-38.239999999999895</v>
      </c>
    </row>
    <row r="366" spans="2:29" x14ac:dyDescent="0.3">
      <c r="B366" s="339" t="s">
        <v>160</v>
      </c>
      <c r="C366" s="568" t="s">
        <v>61</v>
      </c>
      <c r="D366" s="568"/>
      <c r="E366" s="278" t="s">
        <v>138</v>
      </c>
      <c r="F366" s="512" t="s">
        <v>160</v>
      </c>
      <c r="G366" s="513" t="s">
        <v>154</v>
      </c>
      <c r="H366" s="513" t="s">
        <v>153</v>
      </c>
      <c r="I366" s="514"/>
      <c r="J366" s="445"/>
      <c r="K366" s="515">
        <v>45692</v>
      </c>
      <c r="L366" s="516" t="s">
        <v>47</v>
      </c>
      <c r="M366" s="517">
        <v>4</v>
      </c>
      <c r="N366" s="518">
        <v>242.15</v>
      </c>
      <c r="O366" s="519">
        <f>IF(L366="Buy",M366*N366*-1,M366*N366)</f>
        <v>-968.6</v>
      </c>
      <c r="P366" s="520"/>
      <c r="Q366" s="521"/>
      <c r="R366" s="522"/>
      <c r="S366" s="520"/>
      <c r="T366" s="522"/>
      <c r="U366" s="348"/>
      <c r="V366" s="127">
        <v>46425</v>
      </c>
      <c r="W366" s="127" t="str">
        <f>IF(L366="Buy","Sell","Buy")</f>
        <v>Sell</v>
      </c>
      <c r="X366" s="128">
        <f>SUM(M366)</f>
        <v>4</v>
      </c>
      <c r="Y366" s="706">
        <v>229.33</v>
      </c>
      <c r="Z366" s="106">
        <f>IF(W366="Buy",X366*Y366*-1,X366*Y366)</f>
        <v>917.32</v>
      </c>
      <c r="AA366" s="106"/>
      <c r="AB366" s="139">
        <f>SUM(O366,Z366)</f>
        <v>-51.279999999999973</v>
      </c>
    </row>
    <row r="367" spans="2:29" x14ac:dyDescent="0.3">
      <c r="F367" s="140"/>
      <c r="G367" s="14"/>
      <c r="H367" s="12"/>
      <c r="I367" s="12"/>
      <c r="J367" s="12"/>
      <c r="K367" s="15"/>
      <c r="L367" s="17"/>
      <c r="M367" s="17"/>
      <c r="N367" s="77"/>
      <c r="O367" s="133"/>
      <c r="P367" s="152"/>
      <c r="Q367" s="17"/>
      <c r="R367" s="486"/>
      <c r="S367" s="152"/>
      <c r="T367" s="486"/>
      <c r="U367" s="133"/>
      <c r="V367" s="17"/>
      <c r="W367" s="17"/>
      <c r="X367" s="17"/>
      <c r="Y367" s="77"/>
      <c r="Z367" s="133"/>
      <c r="AA367" s="133"/>
      <c r="AB367" s="132"/>
    </row>
    <row r="368" spans="2:29" x14ac:dyDescent="0.3">
      <c r="B368" s="87" t="s">
        <v>214</v>
      </c>
      <c r="C368" s="376">
        <f>_xll.EPF.Yahoo.Price("gld")</f>
        <v>266</v>
      </c>
      <c r="D368" s="376"/>
      <c r="E368" s="660" t="s">
        <v>139</v>
      </c>
      <c r="F368" s="95" t="s">
        <v>214</v>
      </c>
      <c r="G368" s="341" t="s">
        <v>154</v>
      </c>
      <c r="H368" s="343" t="s">
        <v>153</v>
      </c>
      <c r="I368" s="343"/>
      <c r="J368" s="343"/>
      <c r="K368" s="654">
        <v>45694</v>
      </c>
      <c r="L368" s="661" t="s">
        <v>47</v>
      </c>
      <c r="M368" s="665">
        <v>4</v>
      </c>
      <c r="N368" s="344">
        <v>263.66000000000003</v>
      </c>
      <c r="O368" s="52">
        <f>IF(L368="Buy",M368*N368*-1,M368*N368)</f>
        <v>-1054.6400000000001</v>
      </c>
      <c r="P368" s="662"/>
      <c r="Q368" s="663"/>
      <c r="R368" s="664"/>
      <c r="S368" s="662"/>
      <c r="T368" s="664"/>
      <c r="U368" s="348"/>
      <c r="V368" s="125">
        <f ca="1">($C$4)</f>
        <v>45702</v>
      </c>
      <c r="W368" s="125" t="str">
        <f>IF(L368="Buy","Sell","Buy")</f>
        <v>Sell</v>
      </c>
      <c r="X368" s="126">
        <f>SUM(M368)</f>
        <v>4</v>
      </c>
      <c r="Y368" s="197">
        <f>SUM(C368)</f>
        <v>266</v>
      </c>
      <c r="Z368" s="104">
        <f>IF(W368="Buy",X368*Y368*-1,X368*Y368)</f>
        <v>1064</v>
      </c>
      <c r="AA368" s="104">
        <f>IF(H368="Yes",O368*-1,0)</f>
        <v>1054.6400000000001</v>
      </c>
      <c r="AB368" s="138">
        <f>SUM(O368,Z368)</f>
        <v>9.3599999999999</v>
      </c>
    </row>
    <row r="369" spans="2:54" x14ac:dyDescent="0.3">
      <c r="B369" s="87" t="s">
        <v>214</v>
      </c>
      <c r="C369" s="376">
        <f>_xll.EPF.Yahoo.Price("gld")</f>
        <v>266</v>
      </c>
      <c r="D369" s="376"/>
      <c r="E369" s="660" t="s">
        <v>139</v>
      </c>
      <c r="F369" s="95" t="s">
        <v>214</v>
      </c>
      <c r="G369" s="341" t="s">
        <v>154</v>
      </c>
      <c r="H369" s="343" t="s">
        <v>153</v>
      </c>
      <c r="I369" s="343"/>
      <c r="J369" s="343"/>
      <c r="K369" s="654">
        <v>45694</v>
      </c>
      <c r="L369" s="661" t="s">
        <v>47</v>
      </c>
      <c r="M369" s="665">
        <v>10</v>
      </c>
      <c r="N369" s="344">
        <v>268</v>
      </c>
      <c r="O369" s="52">
        <f>IF(L369="Buy",M369*N369*-1,M369*N369)</f>
        <v>-2680</v>
      </c>
      <c r="P369" s="662"/>
      <c r="Q369" s="663"/>
      <c r="R369" s="664"/>
      <c r="S369" s="662"/>
      <c r="T369" s="664"/>
      <c r="U369" s="348"/>
      <c r="V369" s="125">
        <f ca="1">($C$4)</f>
        <v>45702</v>
      </c>
      <c r="W369" s="125" t="str">
        <f>IF(L369="Buy","Sell","Buy")</f>
        <v>Sell</v>
      </c>
      <c r="X369" s="126">
        <f>SUM(M369)</f>
        <v>10</v>
      </c>
      <c r="Y369" s="197">
        <f>SUM(C369)</f>
        <v>266</v>
      </c>
      <c r="Z369" s="104">
        <f>IF(W369="Buy",X369*Y369*-1,X369*Y369)</f>
        <v>2660</v>
      </c>
      <c r="AA369" s="104">
        <f>IF(H369="Yes",O369*-1,0)</f>
        <v>2680</v>
      </c>
      <c r="AB369" s="138">
        <f>SUM(O369,Z369)</f>
        <v>-20</v>
      </c>
    </row>
    <row r="370" spans="2:54" x14ac:dyDescent="0.3">
      <c r="F370" s="140"/>
      <c r="G370" s="187"/>
      <c r="H370" s="6"/>
      <c r="I370" s="6"/>
      <c r="J370" s="6"/>
      <c r="K370" s="188"/>
      <c r="L370" s="655"/>
      <c r="M370" s="655"/>
      <c r="N370" s="84"/>
      <c r="O370" s="656"/>
      <c r="P370" s="657"/>
      <c r="Q370" s="658"/>
      <c r="R370" s="659"/>
      <c r="S370" s="657"/>
      <c r="T370" s="659"/>
      <c r="U370" s="348"/>
      <c r="V370" s="17"/>
      <c r="W370" s="17"/>
      <c r="X370" s="17"/>
      <c r="Y370" s="77"/>
      <c r="Z370" s="133"/>
      <c r="AA370" s="133"/>
      <c r="AB370" s="132"/>
    </row>
    <row r="371" spans="2:54" x14ac:dyDescent="0.3">
      <c r="B371" s="559" t="s">
        <v>180</v>
      </c>
      <c r="C371" s="750" t="s">
        <v>61</v>
      </c>
      <c r="D371" s="750"/>
      <c r="E371" s="559" t="s">
        <v>151</v>
      </c>
      <c r="F371" s="512" t="s">
        <v>180</v>
      </c>
      <c r="G371" s="751" t="s">
        <v>154</v>
      </c>
      <c r="H371" s="513" t="s">
        <v>45</v>
      </c>
      <c r="I371" s="514"/>
      <c r="J371" s="445"/>
      <c r="K371" s="515">
        <v>45686</v>
      </c>
      <c r="L371" s="516" t="s">
        <v>47</v>
      </c>
      <c r="M371" s="517">
        <v>1000</v>
      </c>
      <c r="N371" s="518">
        <v>10.215</v>
      </c>
      <c r="O371" s="519">
        <f>IF(L371="Buy",M371*N371*-1,M371*N371)</f>
        <v>-10215</v>
      </c>
      <c r="P371" s="752"/>
      <c r="Q371" s="753"/>
      <c r="R371" s="754"/>
      <c r="S371" s="752"/>
      <c r="T371" s="754"/>
      <c r="U371" s="755"/>
      <c r="V371" s="127">
        <f ca="1">($C$4)</f>
        <v>45702</v>
      </c>
      <c r="W371" s="127" t="str">
        <f>IF(L371="Buy","Sell","Buy")</f>
        <v>Sell</v>
      </c>
      <c r="X371" s="128">
        <f>SUM(M371)</f>
        <v>1000</v>
      </c>
      <c r="Y371" s="706">
        <v>9.2050000000000001</v>
      </c>
      <c r="Z371" s="106">
        <f>IF(W371="Buy",X371*Y371*-1,X371*Y371)</f>
        <v>9205</v>
      </c>
      <c r="AA371" s="106">
        <f>IF(H371="Yes",O371*-1,0)</f>
        <v>10215</v>
      </c>
      <c r="AB371" s="139">
        <f>SUM(O371,Z371)</f>
        <v>-1010</v>
      </c>
    </row>
    <row r="372" spans="2:54" x14ac:dyDescent="0.3">
      <c r="B372" s="339" t="s">
        <v>180</v>
      </c>
      <c r="C372" s="79">
        <f>_xll.EPF.Yahoo.Price("F")</f>
        <v>9.4450000000000003</v>
      </c>
      <c r="D372" s="79"/>
      <c r="E372" s="567" t="s">
        <v>138</v>
      </c>
      <c r="F372" s="95" t="s">
        <v>180</v>
      </c>
      <c r="G372" s="340" t="s">
        <v>154</v>
      </c>
      <c r="H372" s="340" t="s">
        <v>153</v>
      </c>
      <c r="I372" s="341"/>
      <c r="J372" s="342"/>
      <c r="K372" s="346">
        <v>45686</v>
      </c>
      <c r="L372" s="412" t="s">
        <v>47</v>
      </c>
      <c r="M372" s="38">
        <v>200</v>
      </c>
      <c r="N372" s="344">
        <v>10.305</v>
      </c>
      <c r="O372" s="52">
        <f>IF(L372="Buy",M372*N372*-1,M372*N372)</f>
        <v>-2061</v>
      </c>
      <c r="P372" s="478"/>
      <c r="Q372" s="511"/>
      <c r="R372" s="500"/>
      <c r="S372" s="478"/>
      <c r="T372" s="500"/>
      <c r="U372" s="348"/>
      <c r="V372" s="125">
        <f ca="1">($C$4)</f>
        <v>45702</v>
      </c>
      <c r="W372" s="125" t="str">
        <f>IF(L372="Buy","Sell","Buy")</f>
        <v>Sell</v>
      </c>
      <c r="X372" s="126">
        <f>SUM(M372)</f>
        <v>200</v>
      </c>
      <c r="Y372" s="197">
        <f>SUM(C372)</f>
        <v>9.4450000000000003</v>
      </c>
      <c r="Z372" s="104">
        <f>IF(W372="Buy",X372*Y372*-1,X372*Y372)</f>
        <v>1889</v>
      </c>
      <c r="AA372" s="104">
        <f>IF(H372="Yes",O372*-1,0)</f>
        <v>2061</v>
      </c>
      <c r="AB372" s="138">
        <f>SUM(O372,Z372)</f>
        <v>-172</v>
      </c>
    </row>
    <row r="373" spans="2:54" x14ac:dyDescent="0.3">
      <c r="B373" s="5"/>
      <c r="C373" s="5"/>
      <c r="D373" s="5"/>
      <c r="F373" s="756"/>
      <c r="G373" s="112"/>
      <c r="H373" s="112"/>
      <c r="I373" s="187"/>
      <c r="J373" s="86"/>
      <c r="K373" s="449"/>
      <c r="L373" s="639"/>
      <c r="M373" s="757"/>
      <c r="N373" s="84"/>
      <c r="O373" s="184"/>
      <c r="P373" s="642"/>
      <c r="Q373" s="643"/>
      <c r="R373" s="644"/>
      <c r="S373" s="642"/>
      <c r="T373" s="644"/>
      <c r="U373" s="348"/>
      <c r="V373" s="332"/>
      <c r="W373" s="332"/>
      <c r="X373" s="450"/>
      <c r="Y373" s="333"/>
      <c r="Z373" s="452"/>
      <c r="AA373" s="452"/>
      <c r="AB373" s="184"/>
    </row>
    <row r="374" spans="2:54" ht="15" thickBot="1" x14ac:dyDescent="0.35">
      <c r="F374" s="244"/>
      <c r="G374" s="144"/>
      <c r="H374" s="145"/>
      <c r="I374" s="145"/>
      <c r="J374" s="145"/>
      <c r="K374" s="245"/>
      <c r="L374" s="146"/>
      <c r="M374" s="146"/>
      <c r="N374" s="246"/>
      <c r="O374" s="321"/>
      <c r="P374" s="469"/>
      <c r="Q374" s="146"/>
      <c r="R374" s="488"/>
      <c r="S374" s="469"/>
      <c r="T374" s="488"/>
      <c r="U374" s="321"/>
      <c r="V374" s="146"/>
      <c r="W374" s="146"/>
      <c r="X374" s="146"/>
      <c r="Y374" s="246"/>
      <c r="Z374" s="321"/>
      <c r="AA374" s="321"/>
      <c r="AB374" s="322"/>
    </row>
    <row r="375" spans="2:54" ht="15" thickTop="1" x14ac:dyDescent="0.3">
      <c r="X375" s="235"/>
      <c r="Y375" s="235"/>
      <c r="Z375" s="236" t="s">
        <v>81</v>
      </c>
      <c r="AA375" s="237">
        <f>SUM(AA330:AA374)</f>
        <v>42204.182999999997</v>
      </c>
      <c r="AB375" s="76"/>
      <c r="AC375" s="198">
        <f>SUM(AA375)</f>
        <v>42204.182999999997</v>
      </c>
    </row>
    <row r="376" spans="2:54" x14ac:dyDescent="0.3">
      <c r="I376" s="297"/>
      <c r="J376" s="55"/>
      <c r="X376" s="115" t="s">
        <v>84</v>
      </c>
      <c r="Y376" s="113"/>
      <c r="Z376" s="114"/>
      <c r="AA376" s="12"/>
      <c r="AB376" s="142">
        <f>SUM(AB330:AB374)</f>
        <v>748.76600000000144</v>
      </c>
      <c r="AD376" s="198"/>
    </row>
    <row r="377" spans="2:54" x14ac:dyDescent="0.3">
      <c r="X377" s="115"/>
      <c r="Y377" s="115"/>
      <c r="Z377" s="115"/>
      <c r="AA377" s="12"/>
      <c r="AB377" s="143"/>
      <c r="AC377" s="37"/>
      <c r="AD377" s="37"/>
    </row>
    <row r="378" spans="2:54" ht="15" thickBot="1" x14ac:dyDescent="0.35">
      <c r="X378" s="115"/>
      <c r="Y378" s="113"/>
      <c r="Z378" s="114"/>
      <c r="AA378" s="113"/>
      <c r="AB378" s="149"/>
      <c r="AC378" s="71"/>
      <c r="AD378" s="71"/>
    </row>
    <row r="379" spans="2:54" ht="37.799999999999997" thickTop="1" thickBot="1" x14ac:dyDescent="0.35">
      <c r="X379" s="150"/>
      <c r="Y379" s="147"/>
      <c r="Z379" s="147"/>
      <c r="AA379" s="148"/>
      <c r="AB379" s="151"/>
      <c r="AC379"/>
      <c r="AD379"/>
    </row>
    <row r="380" spans="2:54" ht="15" thickTop="1" x14ac:dyDescent="0.3"/>
    <row r="382" spans="2:54" ht="15" thickBot="1" x14ac:dyDescent="0.35"/>
    <row r="383" spans="2:54" ht="63.6" thickTop="1" thickBot="1" x14ac:dyDescent="0.35">
      <c r="F383" s="713"/>
      <c r="G383" s="714"/>
      <c r="H383" s="715" t="s">
        <v>228</v>
      </c>
      <c r="I383" s="716"/>
      <c r="J383" s="717"/>
      <c r="AC383" s="280" t="s">
        <v>135</v>
      </c>
      <c r="AD383" s="280" t="s">
        <v>136</v>
      </c>
      <c r="AF383" s="280" t="s">
        <v>243</v>
      </c>
      <c r="AP383" s="425" t="s">
        <v>141</v>
      </c>
      <c r="BA383" s="280" t="s">
        <v>137</v>
      </c>
    </row>
    <row r="384" spans="2:54" ht="44.4" thickTop="1" thickBot="1" x14ac:dyDescent="0.5">
      <c r="B384" s="5"/>
      <c r="E384"/>
      <c r="F384" s="944" t="s">
        <v>230</v>
      </c>
      <c r="G384" s="945"/>
      <c r="H384" s="710" t="s">
        <v>229</v>
      </c>
      <c r="I384" s="711" t="s">
        <v>242</v>
      </c>
      <c r="J384" s="712" t="s">
        <v>239</v>
      </c>
      <c r="K384" s="707"/>
      <c r="L384" s="217"/>
      <c r="M384" s="217"/>
      <c r="N384" s="2"/>
      <c r="Q384" s="691"/>
      <c r="AB384" s="5"/>
      <c r="AC384" s="281">
        <f>SUM(AC2:AC322)</f>
        <v>278708.2</v>
      </c>
      <c r="AD384" s="281">
        <f>SUM(AD2:AD376)</f>
        <v>2908.3999999999996</v>
      </c>
      <c r="AE384" s="5"/>
      <c r="AF384" s="734">
        <f ca="1">I396</f>
        <v>11.656914913613495</v>
      </c>
      <c r="AH384" s="379"/>
      <c r="AI384" s="379"/>
      <c r="AJ384" s="5"/>
      <c r="AK384" s="5"/>
      <c r="AL384" s="5"/>
      <c r="AM384" s="5"/>
      <c r="AN384" s="5"/>
      <c r="AO384" s="2"/>
      <c r="AP384" s="426">
        <f ca="1">SUM(AP8:AP322)</f>
        <v>44010.899999999994</v>
      </c>
      <c r="AQ384" s="2"/>
      <c r="AR384" s="380"/>
      <c r="AS384" s="380"/>
      <c r="AT384" s="380"/>
      <c r="AU384" s="227"/>
      <c r="AV384" s="5"/>
      <c r="AW384" s="380"/>
      <c r="AX384" s="380"/>
      <c r="AY384" s="380"/>
      <c r="AZ384" s="380"/>
      <c r="BA384" s="705">
        <f ca="1">SUM(BA2:BA322)</f>
        <v>-20112.552516607815</v>
      </c>
      <c r="BB384" s="380"/>
    </row>
    <row r="385" spans="6:13" ht="15" thickTop="1" x14ac:dyDescent="0.3">
      <c r="F385" s="727" t="s">
        <v>231</v>
      </c>
      <c r="G385" s="728"/>
      <c r="H385" s="729">
        <f ca="1">AB36</f>
        <v>141</v>
      </c>
      <c r="I385" s="729">
        <f ca="1">AB38</f>
        <v>11.755595269705932</v>
      </c>
      <c r="J385" s="730">
        <f t="shared" ref="J385:J390" ca="1" si="125">PRODUCT(H385,I385)</f>
        <v>1657.5389330285363</v>
      </c>
      <c r="K385" s="708"/>
      <c r="L385" s="217"/>
      <c r="M385" s="217"/>
    </row>
    <row r="386" spans="6:13" x14ac:dyDescent="0.3">
      <c r="F386" s="727" t="s">
        <v>232</v>
      </c>
      <c r="G386" s="728"/>
      <c r="H386" s="729">
        <f>AB74</f>
        <v>0</v>
      </c>
      <c r="I386" s="729">
        <f>AB76</f>
        <v>0</v>
      </c>
      <c r="J386" s="730">
        <f t="shared" si="125"/>
        <v>0</v>
      </c>
      <c r="K386" s="708"/>
      <c r="L386" s="217"/>
      <c r="M386" s="217"/>
    </row>
    <row r="387" spans="6:13" x14ac:dyDescent="0.3">
      <c r="F387" s="727" t="s">
        <v>233</v>
      </c>
      <c r="G387" s="728"/>
      <c r="H387" s="729">
        <f ca="1">AB112</f>
        <v>81</v>
      </c>
      <c r="I387" s="729">
        <f ca="1">AB114</f>
        <v>15.447729251131406</v>
      </c>
      <c r="J387" s="730">
        <f t="shared" ca="1" si="125"/>
        <v>1251.266069341644</v>
      </c>
      <c r="K387" s="217"/>
      <c r="L387" s="217"/>
      <c r="M387" s="217"/>
    </row>
    <row r="388" spans="6:13" x14ac:dyDescent="0.3">
      <c r="F388" s="727" t="s">
        <v>234</v>
      </c>
      <c r="G388" s="728"/>
      <c r="H388" s="729">
        <f ca="1">AB151</f>
        <v>57</v>
      </c>
      <c r="I388" s="729">
        <f ca="1">AB153</f>
        <v>13.786885461281789</v>
      </c>
      <c r="J388" s="730">
        <f t="shared" ca="1" si="125"/>
        <v>785.85247129306197</v>
      </c>
      <c r="K388" s="217"/>
      <c r="L388" s="217"/>
      <c r="M388" s="217"/>
    </row>
    <row r="389" spans="6:13" x14ac:dyDescent="0.3">
      <c r="F389" s="727" t="s">
        <v>235</v>
      </c>
      <c r="G389" s="728"/>
      <c r="H389" s="729">
        <f ca="1">AB189</f>
        <v>49</v>
      </c>
      <c r="I389" s="729">
        <f ca="1">AB191</f>
        <v>14.248492991502662</v>
      </c>
      <c r="J389" s="730">
        <f t="shared" ca="1" si="125"/>
        <v>698.17615658363047</v>
      </c>
      <c r="K389" s="217"/>
      <c r="L389" s="217"/>
      <c r="M389" s="217"/>
    </row>
    <row r="390" spans="6:13" x14ac:dyDescent="0.3">
      <c r="F390" s="727" t="s">
        <v>236</v>
      </c>
      <c r="G390" s="728"/>
      <c r="H390" s="729">
        <f ca="1">AB227</f>
        <v>22</v>
      </c>
      <c r="I390" s="729">
        <f ca="1">AB229</f>
        <v>35.902370478983386</v>
      </c>
      <c r="J390" s="730">
        <f t="shared" ca="1" si="125"/>
        <v>789.85215053763454</v>
      </c>
      <c r="K390" s="217"/>
      <c r="L390" s="217"/>
      <c r="M390" s="217"/>
    </row>
    <row r="391" spans="6:13" x14ac:dyDescent="0.3">
      <c r="F391" s="727" t="s">
        <v>237</v>
      </c>
      <c r="G391" s="728"/>
      <c r="H391" s="729">
        <f ca="1">AB261</f>
        <v>14</v>
      </c>
      <c r="I391" s="729"/>
      <c r="J391" s="730"/>
      <c r="K391" s="217"/>
      <c r="L391" s="217"/>
      <c r="M391" s="217"/>
    </row>
    <row r="392" spans="6:13" x14ac:dyDescent="0.3">
      <c r="F392" s="731" t="s">
        <v>238</v>
      </c>
      <c r="G392" s="728"/>
      <c r="H392" s="729">
        <f ca="1">AB315</f>
        <v>58</v>
      </c>
      <c r="I392" s="729">
        <f ca="1">AB317</f>
        <v>-4.5425463317174621</v>
      </c>
      <c r="J392" s="730">
        <f ca="1">PRODUCT(H392,I392)</f>
        <v>-263.46768723961281</v>
      </c>
      <c r="K392" s="217"/>
      <c r="L392" s="217"/>
      <c r="M392" s="217"/>
    </row>
    <row r="393" spans="6:13" x14ac:dyDescent="0.3">
      <c r="F393" s="732"/>
      <c r="G393" s="258"/>
      <c r="H393" s="534"/>
      <c r="I393" s="534"/>
      <c r="J393" s="733"/>
      <c r="K393" s="217"/>
      <c r="L393" s="217"/>
      <c r="M393" s="217"/>
    </row>
    <row r="394" spans="6:13" x14ac:dyDescent="0.3">
      <c r="F394" s="732"/>
      <c r="G394" s="709" t="s">
        <v>241</v>
      </c>
      <c r="H394" s="729">
        <f ca="1">SUM(H385:H392)</f>
        <v>422</v>
      </c>
      <c r="I394" s="729">
        <f ca="1">SUM(I385:I392)</f>
        <v>86.598527120887709</v>
      </c>
      <c r="J394" s="730">
        <f ca="1">SUM(J385:J392)</f>
        <v>4919.2180935448941</v>
      </c>
      <c r="K394" s="217"/>
      <c r="L394" s="217"/>
      <c r="M394" s="217"/>
    </row>
    <row r="395" spans="6:13" ht="15" thickBot="1" x14ac:dyDescent="0.35">
      <c r="F395" s="718"/>
      <c r="G395" s="719"/>
      <c r="H395" s="720"/>
      <c r="I395" s="720"/>
      <c r="J395" s="721"/>
      <c r="K395" s="217"/>
      <c r="L395" s="217"/>
      <c r="M395" s="217"/>
    </row>
    <row r="396" spans="6:13" ht="15.6" thickTop="1" thickBot="1" x14ac:dyDescent="0.35">
      <c r="F396" s="722"/>
      <c r="G396" s="724"/>
      <c r="H396" s="725" t="s">
        <v>240</v>
      </c>
      <c r="I396" s="726">
        <f ca="1">PRODUCT(J394,1/H394)</f>
        <v>11.656914913613495</v>
      </c>
      <c r="J396" s="723"/>
    </row>
    <row r="397" spans="6:13" ht="15" thickTop="1" x14ac:dyDescent="0.3">
      <c r="F397" s="5"/>
    </row>
  </sheetData>
  <mergeCells count="216">
    <mergeCell ref="F384:G384"/>
    <mergeCell ref="F328:F329"/>
    <mergeCell ref="G328:G329"/>
    <mergeCell ref="I328:I329"/>
    <mergeCell ref="J328:J329"/>
    <mergeCell ref="K328:K329"/>
    <mergeCell ref="L328:L329"/>
    <mergeCell ref="M328:M329"/>
    <mergeCell ref="Q44:Q45"/>
    <mergeCell ref="G69:H71"/>
    <mergeCell ref="I69:J70"/>
    <mergeCell ref="K69:L71"/>
    <mergeCell ref="M69:O71"/>
    <mergeCell ref="I71:J71"/>
    <mergeCell ref="O235:O236"/>
    <mergeCell ref="K44:K45"/>
    <mergeCell ref="L44:L45"/>
    <mergeCell ref="M44:M45"/>
    <mergeCell ref="O44:O45"/>
    <mergeCell ref="P197:P198"/>
    <mergeCell ref="O328:O329"/>
    <mergeCell ref="I119:L120"/>
    <mergeCell ref="F121:F122"/>
    <mergeCell ref="F285:F286"/>
    <mergeCell ref="G285:G286"/>
    <mergeCell ref="J285:J286"/>
    <mergeCell ref="K285:K286"/>
    <mergeCell ref="L285:L286"/>
    <mergeCell ref="M285:M286"/>
    <mergeCell ref="K235:K236"/>
    <mergeCell ref="L235:L236"/>
    <mergeCell ref="M235:M236"/>
    <mergeCell ref="F159:F160"/>
    <mergeCell ref="I195:L196"/>
    <mergeCell ref="F197:F198"/>
    <mergeCell ref="I233:L234"/>
    <mergeCell ref="F235:F236"/>
    <mergeCell ref="G235:G236"/>
    <mergeCell ref="I235:I236"/>
    <mergeCell ref="J235:J236"/>
    <mergeCell ref="G197:G198"/>
    <mergeCell ref="I283:L284"/>
    <mergeCell ref="F273:Y274"/>
    <mergeCell ref="AK283:AL284"/>
    <mergeCell ref="AV281:AV284"/>
    <mergeCell ref="AX281:AX284"/>
    <mergeCell ref="AZ281:AZ284"/>
    <mergeCell ref="BA281:BA284"/>
    <mergeCell ref="I326:L327"/>
    <mergeCell ref="X326:Y327"/>
    <mergeCell ref="AV287:AV289"/>
    <mergeCell ref="AX287:AX289"/>
    <mergeCell ref="AZ287:AZ289"/>
    <mergeCell ref="BA287:BA289"/>
    <mergeCell ref="AN285:AN286"/>
    <mergeCell ref="AV321:AV322"/>
    <mergeCell ref="AX321:AX322"/>
    <mergeCell ref="AZ321:AZ322"/>
    <mergeCell ref="BA321:BA322"/>
    <mergeCell ref="X321:Y322"/>
    <mergeCell ref="I285:I286"/>
    <mergeCell ref="O285:O286"/>
    <mergeCell ref="BA8:BA10"/>
    <mergeCell ref="AV46:AV48"/>
    <mergeCell ref="P285:P286"/>
    <mergeCell ref="I321:L322"/>
    <mergeCell ref="AJ285:AJ286"/>
    <mergeCell ref="AK285:AK286"/>
    <mergeCell ref="AK321:AL322"/>
    <mergeCell ref="I278:L279"/>
    <mergeCell ref="X283:Y284"/>
    <mergeCell ref="AK273:AL274"/>
    <mergeCell ref="AJ121:AJ122"/>
    <mergeCell ref="AJ159:AJ160"/>
    <mergeCell ref="AK159:AK160"/>
    <mergeCell ref="M159:M160"/>
    <mergeCell ref="O159:O160"/>
    <mergeCell ref="I197:I198"/>
    <mergeCell ref="J197:J198"/>
    <mergeCell ref="K197:K198"/>
    <mergeCell ref="L197:L198"/>
    <mergeCell ref="M197:M198"/>
    <mergeCell ref="O197:O198"/>
    <mergeCell ref="AO197:AO198"/>
    <mergeCell ref="AV199:AV201"/>
    <mergeCell ref="AX199:AX201"/>
    <mergeCell ref="AK80:AL81"/>
    <mergeCell ref="AV84:AV86"/>
    <mergeCell ref="AX84:AX86"/>
    <mergeCell ref="AZ84:AZ86"/>
    <mergeCell ref="BA84:BA86"/>
    <mergeCell ref="AO121:AO122"/>
    <mergeCell ref="AN197:AN198"/>
    <mergeCell ref="X157:Y158"/>
    <mergeCell ref="X278:Y279"/>
    <mergeCell ref="AK195:AL196"/>
    <mergeCell ref="BA199:BA201"/>
    <mergeCell ref="AZ199:AZ201"/>
    <mergeCell ref="AK197:AK198"/>
    <mergeCell ref="X233:Y234"/>
    <mergeCell ref="AK233:AL234"/>
    <mergeCell ref="AJ235:AJ236"/>
    <mergeCell ref="AK235:AK236"/>
    <mergeCell ref="AN235:AN236"/>
    <mergeCell ref="AO235:AO236"/>
    <mergeCell ref="X195:Y196"/>
    <mergeCell ref="BC160:BD160"/>
    <mergeCell ref="AK278:AL279"/>
    <mergeCell ref="AV161:AV163"/>
    <mergeCell ref="AX161:AX163"/>
    <mergeCell ref="AZ161:AZ163"/>
    <mergeCell ref="BA161:BA163"/>
    <mergeCell ref="AO159:AO160"/>
    <mergeCell ref="AJ197:AJ198"/>
    <mergeCell ref="P235:P236"/>
    <mergeCell ref="Q235:Q236"/>
    <mergeCell ref="R235:R236"/>
    <mergeCell ref="S235:S236"/>
    <mergeCell ref="T235:T236"/>
    <mergeCell ref="AV237:AV239"/>
    <mergeCell ref="AX237:AX239"/>
    <mergeCell ref="AZ237:AZ239"/>
    <mergeCell ref="BA237:BA239"/>
    <mergeCell ref="BA46:BA48"/>
    <mergeCell ref="AO44:AO45"/>
    <mergeCell ref="BA123:BA125"/>
    <mergeCell ref="AN159:AN160"/>
    <mergeCell ref="I80:L81"/>
    <mergeCell ref="AK44:AK45"/>
    <mergeCell ref="AJ44:AJ45"/>
    <mergeCell ref="G121:G122"/>
    <mergeCell ref="I121:I122"/>
    <mergeCell ref="J121:J122"/>
    <mergeCell ref="K121:K122"/>
    <mergeCell ref="AN44:AN45"/>
    <mergeCell ref="AK82:AK83"/>
    <mergeCell ref="AN82:AN83"/>
    <mergeCell ref="AJ82:AJ83"/>
    <mergeCell ref="AK119:AL120"/>
    <mergeCell ref="R44:R45"/>
    <mergeCell ref="S44:S45"/>
    <mergeCell ref="T44:T45"/>
    <mergeCell ref="AE44:AE45"/>
    <mergeCell ref="AF44:AF45"/>
    <mergeCell ref="G159:G160"/>
    <mergeCell ref="I159:I160"/>
    <mergeCell ref="J159:J160"/>
    <mergeCell ref="AK42:AL43"/>
    <mergeCell ref="AV123:AV125"/>
    <mergeCell ref="AX123:AX125"/>
    <mergeCell ref="AZ123:AZ125"/>
    <mergeCell ref="I157:L158"/>
    <mergeCell ref="AG44:AG45"/>
    <mergeCell ref="I42:L43"/>
    <mergeCell ref="P159:P160"/>
    <mergeCell ref="P44:P45"/>
    <mergeCell ref="P82:P83"/>
    <mergeCell ref="X42:Y43"/>
    <mergeCell ref="M121:M122"/>
    <mergeCell ref="O121:O122"/>
    <mergeCell ref="AK157:AL158"/>
    <mergeCell ref="X119:Y120"/>
    <mergeCell ref="P121:P122"/>
    <mergeCell ref="AK121:AK122"/>
    <mergeCell ref="AN121:AN122"/>
    <mergeCell ref="L121:L122"/>
    <mergeCell ref="AX46:AX48"/>
    <mergeCell ref="AZ46:AZ48"/>
    <mergeCell ref="K159:K160"/>
    <mergeCell ref="L159:L160"/>
    <mergeCell ref="X80:Y81"/>
    <mergeCell ref="AZ8:AZ10"/>
    <mergeCell ref="AE6:AE7"/>
    <mergeCell ref="AF6:AF7"/>
    <mergeCell ref="AG6:AG7"/>
    <mergeCell ref="AN6:AN7"/>
    <mergeCell ref="X6:X7"/>
    <mergeCell ref="AA6:AA7"/>
    <mergeCell ref="AB6:AB7"/>
    <mergeCell ref="AK6:AK7"/>
    <mergeCell ref="AJ6:AJ7"/>
    <mergeCell ref="AO6:AO7"/>
    <mergeCell ref="AR7:AT7"/>
    <mergeCell ref="AK4:AM4"/>
    <mergeCell ref="AK5:AM5"/>
    <mergeCell ref="AI4:AJ5"/>
    <mergeCell ref="AE4:AH5"/>
    <mergeCell ref="X4:Y5"/>
    <mergeCell ref="Z5:AA5"/>
    <mergeCell ref="AV8:AV10"/>
    <mergeCell ref="AX8:AX10"/>
    <mergeCell ref="S6:S7"/>
    <mergeCell ref="T6:T7"/>
    <mergeCell ref="W6:W7"/>
    <mergeCell ref="Z4:AA4"/>
    <mergeCell ref="P6:P7"/>
    <mergeCell ref="G36:H38"/>
    <mergeCell ref="F2:H2"/>
    <mergeCell ref="K36:L38"/>
    <mergeCell ref="F4:W5"/>
    <mergeCell ref="M36:O38"/>
    <mergeCell ref="J2:K2"/>
    <mergeCell ref="H6:H7"/>
    <mergeCell ref="Q6:Q7"/>
    <mergeCell ref="I36:J37"/>
    <mergeCell ref="I38:J38"/>
    <mergeCell ref="F6:F7"/>
    <mergeCell ref="G6:G7"/>
    <mergeCell ref="I6:I7"/>
    <mergeCell ref="J6:J7"/>
    <mergeCell ref="K6:K7"/>
    <mergeCell ref="L6:L7"/>
    <mergeCell ref="M6:M7"/>
    <mergeCell ref="O6:O7"/>
    <mergeCell ref="R6:R7"/>
    <mergeCell ref="N2:P2"/>
  </mergeCells>
  <pageMargins left="0.25" right="0.25" top="0.5" bottom="0.5" header="0" footer="0"/>
  <pageSetup paperSize="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 Abramson</dc:creator>
  <cp:keywords/>
  <dc:description/>
  <cp:lastModifiedBy>Ken Abramson</cp:lastModifiedBy>
  <cp:revision/>
  <dcterms:created xsi:type="dcterms:W3CDTF">2022-09-05T15:46:45Z</dcterms:created>
  <dcterms:modified xsi:type="dcterms:W3CDTF">2025-02-14T18:48:21Z</dcterms:modified>
  <cp:category/>
  <cp:contentStatus/>
</cp:coreProperties>
</file>